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1.xml" ContentType="application/vnd.openxmlformats-officedocument.drawingml.chart+xml"/>
  <Override PartName="/xl/charts/style4.xml" ContentType="application/vnd.ms-office.chartstyle+xml"/>
  <Override PartName="/xl/charts/colors4.xml" ContentType="application/vnd.ms-office.chartcolorstyle+xml"/>
  <Override PartName="/xl/charts/chart2.xml" ContentType="application/vnd.openxmlformats-officedocument.drawingml.chart+xml"/>
  <Override PartName="/xl/charts/style5.xml" ContentType="application/vnd.ms-office.chartstyle+xml"/>
  <Override PartName="/xl/charts/colors5.xml" ContentType="application/vnd.ms-office.chartcolorstyle+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4.xml" ContentType="application/vnd.openxmlformats-officedocument.drawing+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charts/chart17.xml" ContentType="application/vnd.openxmlformats-officedocument.drawingml.chart+xml"/>
  <Override PartName="/xl/charts/style20.xml" ContentType="application/vnd.ms-office.chartstyle+xml"/>
  <Override PartName="/xl/charts/colors20.xml" ContentType="application/vnd.ms-office.chartcolorstyle+xml"/>
  <Override PartName="/xl/charts/chart18.xml" ContentType="application/vnd.openxmlformats-officedocument.drawingml.chart+xml"/>
  <Override PartName="/xl/charts/style21.xml" ContentType="application/vnd.ms-office.chartstyle+xml"/>
  <Override PartName="/xl/charts/colors21.xml" ContentType="application/vnd.ms-office.chartcolorstyle+xml"/>
  <Override PartName="/xl/charts/chart19.xml" ContentType="application/vnd.openxmlformats-officedocument.drawingml.chart+xml"/>
  <Override PartName="/xl/charts/style22.xml" ContentType="application/vnd.ms-office.chartstyle+xml"/>
  <Override PartName="/xl/charts/colors22.xml" ContentType="application/vnd.ms-office.chartcolorstyle+xml"/>
  <Override PartName="/xl/charts/chart20.xml" ContentType="application/vnd.openxmlformats-officedocument.drawingml.chart+xml"/>
  <Override PartName="/xl/charts/style23.xml" ContentType="application/vnd.ms-office.chartstyle+xml"/>
  <Override PartName="/xl/charts/colors2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8FFCB660-4361-4C3C-AF6F-352F8369A9E1}" xr6:coauthVersionLast="47" xr6:coauthVersionMax="47" xr10:uidLastSave="{00000000-0000-0000-0000-000000000000}"/>
  <bookViews>
    <workbookView xWindow="-110" yWindow="-110" windowWidth="19420" windowHeight="10300" activeTab="1" xr2:uid="{00000000-000D-0000-FFFF-FFFF00000000}"/>
  </bookViews>
  <sheets>
    <sheet name="Product Listing Page" sheetId="1" r:id="rId1"/>
    <sheet name="Analysis page" sheetId="2" r:id="rId2"/>
    <sheet name="Dashboard" sheetId="5" r:id="rId3"/>
    <sheet name="Analysis Dashboard" sheetId="6" r:id="rId4"/>
  </sheets>
  <definedNames>
    <definedName name="_xlchart.v1.0" hidden="1">'Product Listing Page'!$J$1</definedName>
    <definedName name="_xlchart.v1.1" hidden="1">'Product Listing Page'!$J$2:$J$242</definedName>
    <definedName name="_xlchart.v1.2" hidden="1">'Product Listing Page'!$E$1</definedName>
    <definedName name="_xlchart.v1.3" hidden="1">'Product Listing Page'!$E$2:$E$242</definedName>
    <definedName name="_xlchart.v1.4" hidden="1">'Product Listing Page'!$G$1</definedName>
    <definedName name="_xlchart.v1.5" hidden="1">'Product Listing Page'!$G$2:$G$242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 i="5" l="1"/>
  <c r="Q1" i="5"/>
  <c r="N1" i="5"/>
  <c r="K1" i="5"/>
  <c r="H1" i="5"/>
  <c r="R51" i="2"/>
  <c r="O52" i="2"/>
  <c r="K2" i="2" a="1"/>
  <c r="K2" i="2" s="1"/>
  <c r="H2" i="2" a="1"/>
  <c r="H2" i="2" s="1"/>
  <c r="I2" i="2" s="1"/>
  <c r="E2" i="2" a="1"/>
  <c r="E2" i="2" s="1"/>
  <c r="F2" i="2" s="1"/>
  <c r="B2" i="2" a="1"/>
  <c r="B2" i="2" s="1"/>
  <c r="F6" i="2" l="1"/>
  <c r="F3" i="2"/>
  <c r="I6" i="2"/>
  <c r="I5" i="2"/>
  <c r="I4" i="2"/>
  <c r="F5" i="2"/>
  <c r="I3" i="2"/>
  <c r="F4" i="2"/>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C6" i="2" s="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I242" i="1"/>
  <c r="E242" i="1"/>
  <c r="H242" i="1"/>
  <c r="G242" i="1"/>
  <c r="F242" i="1"/>
  <c r="A2" i="1" a="1"/>
  <c r="A2" i="1" s="1"/>
  <c r="C5" i="2" l="1"/>
  <c r="C4" i="2"/>
  <c r="C3" i="2"/>
  <c r="J242" i="1"/>
  <c r="C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<sst xmlns="http://schemas.openxmlformats.org/spreadsheetml/2006/main" count="992" uniqueCount="697">
  <si>
    <t>Product Name</t>
  </si>
  <si>
    <t>Product URL</t>
  </si>
  <si>
    <t>Product Image</t>
  </si>
  <si>
    <t>Price (PKR)</t>
  </si>
  <si>
    <t>Discount Percentage</t>
  </si>
  <si>
    <t>Number Sold</t>
  </si>
  <si>
    <t>Rating (Out of 5)</t>
  </si>
  <si>
    <t>Location</t>
  </si>
  <si>
    <t>Comfy &amp; Elegant sneakers for girls</t>
  </si>
  <si>
    <t>https://www.daraz.pk/products/-i268674750.html</t>
  </si>
  <si>
    <t>https://img.drz.lazcdn.com/static/pk/p/bf8a56c3c5301b656d4bf4fbce44bf80.jpg_400x400q75.avif</t>
  </si>
  <si>
    <t>Sindh</t>
  </si>
  <si>
    <t>Rumble -- AF 1 Low Sneakers -- multi color -- new fashion -- perfect fit -- shoes for men -- shoes for Girls -- Shoetique.pk</t>
  </si>
  <si>
    <t>https://www.daraz.pk/products/af-1-pk-i669852639.html</t>
  </si>
  <si>
    <t>https://img.drz.lazcdn.com/static/pk/p/adf8963ed39667a996a8f318aadb8c0f.jpg_400x400q75.avif</t>
  </si>
  <si>
    <t>NBH Shoes For Girls - Stylish Thick Soul Sneakers For Girls - Ladies Shoes - Comfortable Lightweight Shoes For Women - Party Wear And Casual Joggers For Girls - Women's Shoes - Sneakers For Women - Best Gift For Girls</t>
  </si>
  <si>
    <t>https://www.daraz.pk/products/nbh-i943645447.html</t>
  </si>
  <si>
    <t>https://img.drz.lazcdn.com/static/pk/p/b5ac55e8c4fb72ec250c9442a7333c9c.jpg_400x400q75.avif</t>
  </si>
  <si>
    <t>Stylish dunks snekaers for mens | shoes for mens | sneakers for boys</t>
  </si>
  <si>
    <t>https://www.daraz.pk/products/-i885279208.html</t>
  </si>
  <si>
    <t>https://img.drz.lazcdn.com/g/kf/Sdb73efafec01492aa85db646e65ef045W.jpg_400x400q75.avif</t>
  </si>
  <si>
    <t>Punjab</t>
  </si>
  <si>
    <t>Men Sneakers Mesh Breathable Trendy Lace-Up Lightweight Black Walking Man Tennis Shoes</t>
  </si>
  <si>
    <t>https://www.daraz.pk/products/-i470722429.html</t>
  </si>
  <si>
    <t>https://img.drz.lazcdn.com/g/kf/S906b060c99184776b6e4dc6402d6f29fb.jpg_400x400q75.avif</t>
  </si>
  <si>
    <t>Stylish Skechers Inspired Breathable Slip-On Shoes for Men -- Ultra Comfort Lightweight Casual Walking</t>
  </si>
  <si>
    <t>https://www.daraz.pk/products/-i939015523.html</t>
  </si>
  <si>
    <t>https://img.drz.lazcdn.com/g/kf/Scc3de95000084741a89985be30e73f65g.jpg_400x400q75.avif</t>
  </si>
  <si>
    <t>Men's Stylish Air-Cushioned Sneakers -- Trendy &amp; Comfortable Casual Sports Shoes</t>
  </si>
  <si>
    <t>https://www.daraz.pk/products/-i925563181.html</t>
  </si>
  <si>
    <t>https://img.drz.lazcdn.com/static/pk/p/29009cbcc3400c325c55668f06228249.png_400x400q75.avif</t>
  </si>
  <si>
    <t>Sneakers For Men - Shoes For Men - Sneakers For Boys - Shoes - Men Shoes - Sports Shoes For Men - Boys Shoes Men's Sneakers &amp; Sports Shoes -- Casual All-Season Walking &amp; Hiking Shoes for Men &amp; Boys | Comfortable Daily Wear Footwear for Spring, Summer, Fall</t>
  </si>
  <si>
    <t>https://www.daraz.pk/products/-i923924695.html</t>
  </si>
  <si>
    <t>https://img.drz.lazcdn.com/static/pk/p/75b9887371dd287f1995812b1b0ad938.jpg_400x400q75.avif</t>
  </si>
  <si>
    <t>Walkend || Sneakers for men || shoes for men || New stylish sneakers for men || Airjordans Premium Mens Sneakers</t>
  </si>
  <si>
    <t>https://www.daraz.pk/products/-i595485869.html</t>
  </si>
  <si>
    <t>https://img.drz.lazcdn.com/g/kf/Sb04cea1733b44c8281d9145e1801867dQ.jpg_400x400q75.avif</t>
  </si>
  <si>
    <t>Womens Comfortable Casual Sneakers Fashion College Wear Shoes for Daily Use</t>
  </si>
  <si>
    <t>https://www.daraz.pk/products/womens-comfortable-casual-sneakers-fashion-college-wear-shoes-for-daily-use-i471769800.html</t>
  </si>
  <si>
    <t>https://img.drz.lazcdn.com/g/kf/Sa0cc368aba49490f80c3274e7fea6641d.jpg_400x400q75.avif</t>
  </si>
  <si>
    <t>FLK SPOT - Sneakers for Men - Shoes for Boys - Shoes for Men - jogger for men</t>
  </si>
  <si>
    <t>https://www.daraz.pk/products/flk-spot-sneakers-for-men-shoes-for-boys-shoes-for-men-jogger-for-men-i444526262.html</t>
  </si>
  <si>
    <t>https://img.drz.lazcdn.com/static/pk/p/7ee8232d887e9d55fef0641ef929201b.jpg_400x400q75.avif</t>
  </si>
  <si>
    <t>Sneakers For Men - Shoes For Men - Sneakers For Boys - Shoes - Men Shoes - Sports Shoes For Men - Boys Shoes All-Season Casual Hiking Sneakers-Comfortable Walking Shoes for Men Spring/Summer/Fall/Winter Seasons - Perfect for Daily Casual Wear</t>
  </si>
  <si>
    <t>https://www.daraz.pk/products/sneakers-for-men-shoes-for-men-sneakers-for-boys-shoes-men-shoes-sports-shoes-for-men-boys-shoes-all-season-casual-hiking-sneakers-comfortable-walking-shoes-for-men-springsummerfallwinter-seasons-perfect-for-daily-casual-wear-i927455240.html</t>
  </si>
  <si>
    <t>https://img.drz.lazcdn.com/static/pk/p/246851e9bd0d3af549d5c9bbd7c7d98c.jpg_400x400q75.avif</t>
  </si>
  <si>
    <t>Beautiful gents sneakers</t>
  </si>
  <si>
    <t>https://www.daraz.pk/products/-i948783506.html</t>
  </si>
  <si>
    <t>https://img.drz.lazcdn.com/static/pk/p/ee3a4d8bab2815eb6992a39b9d2599b4.jpg_400x400q75.avif</t>
  </si>
  <si>
    <t>Sneakers For mens #blacksneakersformens #whitesneakersformen #black #white #sneakers #sportssneakers</t>
  </si>
  <si>
    <t>https://www.daraz.pk/products/-i396073692.html</t>
  </si>
  <si>
    <t>https://img.drz.lazcdn.com/static/pk/p/b316a8940b2e2a854e8e5b3aae6f6def.jpg_400x400q75.avif</t>
  </si>
  <si>
    <t>Dunkfusion Sneakers Shoes For Mens - Lieght Weight Breathable Shoes For Mens - Sneakers Shoes For Boys - Dunk - Shoes - Mens Shoes</t>
  </si>
  <si>
    <t>https://www.daraz.pk/products/dunkfusion-sneakers-shoes-for-mens-lieght-weight-breathable-shoes-for-mens-sneakers-shoes-for-boys-dunk-shoes-mens-shoes-i668735062.html</t>
  </si>
  <si>
    <t>https://img.drz.lazcdn.com/static/pk/p/028c72d0c4b20125dd38f62f372ef337.jpg_400x400q75.avif</t>
  </si>
  <si>
    <t>https://www.daraz.pk/products/dunkfusion-sneakers-shoes-for-mens-lieght-weight-breathable-shoes-for-mens-sneakers-shoes-for-boys-dunk-shoes-mens-shoes-i847264945.html</t>
  </si>
  <si>
    <t>https://img.drz.lazcdn.com/static/pk/p/d254d04d554e11319a845d9bfd260a2d.jpg_400x400q75.avif</t>
  </si>
  <si>
    <t>White sneakers for boys || sports sneakers for men || best stylish and tranding sneakers</t>
  </si>
  <si>
    <t>https://www.daraz.pk/products/-i426618281.html</t>
  </si>
  <si>
    <t>https://img.drz.lazcdn.com/static/pk/p/9c7894da3b59f7b0f34d4b1069012947.jpg_400x400q75.avif</t>
  </si>
  <si>
    <t>black and white casual sneaker --- perfect for both streetwear and everyday use.</t>
  </si>
  <si>
    <t>https://www.daraz.pk/products/-i926635491.html</t>
  </si>
  <si>
    <t>https://img.drz.lazcdn.com/static/pk/p/fac5719e7b234371f6e4a2a1e26534a9.jpg_400x400q75.avif</t>
  </si>
  <si>
    <t>Dunkfusion Sneakers Shoes For Mens - Lieght Weight Breathable Shoes For Mens - Sneakers Shoes For Boys - Dunk - Shoes Boyes Shoes</t>
  </si>
  <si>
    <t>https://www.daraz.pk/products/dunkfusion-sneakers-shoes-for-mens-lieght-weight-breathable-shoes-for-mens-sneakers-shoes-for-boys-dunk-shoes-boyes-shoes-i1948716013.html</t>
  </si>
  <si>
    <t>https://img.drz.lazcdn.com/static/pk/p/3624deb662b258108c12a66a9dc1e5fa.jpg_400x400q75.avif</t>
  </si>
  <si>
    <t>New Trending Stylish Air Style Sneaker Shoes For Mens Light Weight Comfortable Breathable Sneakers For Boys Shoes - Men Shoes</t>
  </si>
  <si>
    <t>https://www.daraz.pk/products/new-trending-stylish-air-style-sneaker-shoes-for-mens-light-weight-comfortable-breathable-sneakers-for-boys-shoes-men-shoes-i927455290.html</t>
  </si>
  <si>
    <t>https://img.drz.lazcdn.com/static/pk/p/b2675d64913559d9b68c92db93e6a92e.jpg_400x400q75.avif</t>
  </si>
  <si>
    <t>New Full Trending Sneakers For Mens - Shoes For Mens - Sneakers For Boys - Shoes - Men Shoes - Sports Shoes For Men - Boys Shoes</t>
  </si>
  <si>
    <t>https://www.daraz.pk/products/new-full-trending-sneakers-for-mens-shoes-for-mens-sneakers-for-boys-shoes-men-shoes-sports-shoes-for-men-boys-shoes-i668725122.html</t>
  </si>
  <si>
    <t>https://img.drz.lazcdn.com/static/pk/p/b83addc7c2e1d723b86ba989d5a7d4b1.jpg_400x400q75.avif</t>
  </si>
  <si>
    <t>Walkend || Sneakers for men || shoes for men | New stylish sneakers for men || Airjordans Premium Mens Sneakers</t>
  </si>
  <si>
    <t>https://www.daraz.pk/products/airjordans-i911826124.html</t>
  </si>
  <si>
    <t>https://img.drz.lazcdn.com/g/kf/Sd1e14a15edf143b6bb6ca54085fc97ebm.jpg_400x400q75.avif</t>
  </si>
  <si>
    <t>New Mens Fashionabel Sneakers Running Shoes Gym Joggers Lightwight And Comfortable Shoes For Boys Tannies Sneakers</t>
  </si>
  <si>
    <t>https://www.daraz.pk/products/new-mens-fashionabel-sneakers-running-shoes-gym-joggers-lightwight-and-comfortable-shoes-for-boys-tannies-sneakers-i587950167.html</t>
  </si>
  <si>
    <t>https://img.drz.lazcdn.com/static/pk/p/b9efed42e1c1de2f0fcd1be207ae439e.jpg_400x400q75.avif</t>
  </si>
  <si>
    <t>https://www.daraz.pk/products/-i595514505.html</t>
  </si>
  <si>
    <t>https://img.drz.lazcdn.com/static/pk/p/60cd73c9af37b55f6bd38c1a52a4c770.jpg_400x400q75.avif</t>
  </si>
  <si>
    <t>FLK spot Mens Excercise Running Sneakers / Casual shoes Fashion Breathable /Fast shoes Training sneakers for Men / Tennis Trending sneakers for walking gym</t>
  </si>
  <si>
    <t>https://www.daraz.pk/products/flk-i429546628.html</t>
  </si>
  <si>
    <t>https://img.drz.lazcdn.com/static/pk/p/b5d072f969860edab34c9850c396cc83.jpg_400x400q75.avif</t>
  </si>
  <si>
    <t>New Trending Dunk Shoes For Mens Sneakers Shoes For Boys - Shoes For Men - Sneakers Shoes For Boys - Trending - Shoes - Mens Shoes</t>
  </si>
  <si>
    <t>https://www.daraz.pk/products/new-trending-dunk-shoes-for-mens-sneakers-shoes-for-boys-shoes-for-men-sneakers-shoes-for-boys-trending-shoes-mens-shoes-i923368997.html</t>
  </si>
  <si>
    <t>https://img.drz.lazcdn.com/static/pk/p/0dd760f204c4473b579d99315f9d5cd0.jpg_400x400q75.avif</t>
  </si>
  <si>
    <t>Men's &amp; Woman's Sneakers white Shoes casual Spring Summer Outdoor sneakers Sports Summer Athletic Shoes Running sneakers White Training tennis boy Original sneakers- Shoes for Men's</t>
  </si>
  <si>
    <t>https://www.daraz.pk/products/-i896573461.html</t>
  </si>
  <si>
    <t>https://img.drz.lazcdn.com/g/kf/S0921df9f25214cb1b82fa5655ff5b0e1k.jpg_400x400q75.avif</t>
  </si>
  <si>
    <t>https://www.daraz.pk/products/new-trending-stylish-air-style-sneaker-shoes-for-mens-light-weight-comfortable-breathable-sneakers-for-boys-shoes-men-shoes-i832756027.html</t>
  </si>
  <si>
    <t>https://img.drz.lazcdn.com/static/pk/p/3704e0618b7a0b0e985f69aa47da3f16.jpg_400x400q75.avif</t>
  </si>
  <si>
    <t>White Sneakers for men's || stylish and tranding sneakers for boys</t>
  </si>
  <si>
    <t>https://www.daraz.pk/products/-i467992274.html</t>
  </si>
  <si>
    <t>https://img.drz.lazcdn.com/static/pk/p/43e8f54aa9f9a87c641e2f1eaf9ea782.jpg_400x400q75.avif</t>
  </si>
  <si>
    <t>Toms syanno black canvas shoes Outdoor Running Shoes Casual Desert Sneakers</t>
  </si>
  <si>
    <t>https://www.daraz.pk/products/toms-syanno-black-canvas-shoes-outdoor-running-shoes-casual-desert-sneakers-i490961741.html</t>
  </si>
  <si>
    <t>https://img.drz.lazcdn.com/static/pk/p/53beaefafaaa87d00b3637ab972df42b.jpg_400x400q75.avif</t>
  </si>
  <si>
    <t>Khyber Pakhtunkhwa</t>
  </si>
  <si>
    <t>New arrival sneakers for Men</t>
  </si>
  <si>
    <t>https://www.daraz.pk/products/-i923665260.html</t>
  </si>
  <si>
    <t>https://img.drz.lazcdn.com/g/kf/S9fe04924c82a4c219dbc8e67167a3471P.jpg_400x400q75.avif</t>
  </si>
  <si>
    <t>Water Smash - Men's &amp; Womens Sneakers White Shoes Casual Spring Summer Outdoor Sneakers Sports Summer Athletic Shoes Running Sneakers White Training Tennis Boys Original Sneakers - Shoes for Men</t>
  </si>
  <si>
    <t>https://www.daraz.pk/products/water-smash-mens-womens-sneakers-white-shoes-casual-spring-summer-outdoor-sneakers-sports-summer-athletic-shoes-running-sneakers-white-training-tennis-boys-original-sneakers-shoes-for-men-i421880437.html</t>
  </si>
  <si>
    <t>https://img.drz.lazcdn.com/static/pk/p/20462b8a238147ab837e7167e6afd383.jpg_400x400q75.avif</t>
  </si>
  <si>
    <t>FLK SPOT Mens Excercise Running Sneakers Casual shoes Fashion Breathable Fast shoes Training sneakers for Men Tennis Trending sneakers for walking gym</t>
  </si>
  <si>
    <t>https://www.daraz.pk/products/flk-i444531873.html</t>
  </si>
  <si>
    <t>https://img.drz.lazcdn.com/static/pk/p/91c3e0893d1e1fba9935b8d50dcc91fa.jpg_400x400q75.avif</t>
  </si>
  <si>
    <t>https://www.daraz.pk/products/dunkfusion-sneakers-shoes-for-mens-lieght-weight-breathable-shoes-for-mens-sneakers-shoes-for-boys-dunk-shoes-mens-shoes-i946409129.html</t>
  </si>
  <si>
    <t>White Fashionable Casual Sneaker Shoes For Mens Comfortable Sneakers Shoes Men's Casual Sneaker, Classic Low Top Moccasin Style, Fashion Shoes For Mens</t>
  </si>
  <si>
    <t>https://www.daraz.pk/products/white-fashionable-casual-sneaker-shoes-for-mens-comfortable-sneakers-shoes-mens-casual-sneaker-classic-low-top-moccasin-style-fashion-shoes-for-mens-i927192638.html</t>
  </si>
  <si>
    <t>https://img.drz.lazcdn.com/static/pk/p/32f2120817f01ae0bd6f5452f33df01d.jpg_400x400q75.avif</t>
  </si>
  <si>
    <t>Dunk Fusion Sneaker For Men Lighweigh And Medicated</t>
  </si>
  <si>
    <t>https://www.daraz.pk/products/-i923445030.html</t>
  </si>
  <si>
    <t>https://img.drz.lazcdn.com/g/kf/S07cbae63723d4962aa92f38336ce78a3s.jpg_400x400q75.avif</t>
  </si>
  <si>
    <t>https://www.daraz.pk/products/new-full-trending-sneakers-for-mens-shoes-for-mens-sneakers-for-boys-shoes-men-shoes-sports-shoes-for-men-boys-shoes-i927426744.html</t>
  </si>
  <si>
    <t>https://img.drz.lazcdn.com/static/pk/p/42336cb3923f0fd8724a4458908c7700.jpg_400x400q75.avif</t>
  </si>
  <si>
    <t>https://www.daraz.pk/products/new-trending-dunk-shoes-for-mens-sneakers-shoes-for-boys-shoes-for-men-sneakers-shoes-for-boys-trending-shoes-mens-shoes-i920080765.html</t>
  </si>
  <si>
    <t>https://img.drz.lazcdn.com/static/pk/p/9a3090d002cdf45450a66449ddd786af.jpg_400x400q75.avif</t>
  </si>
  <si>
    <t>Sneakers Men's And Boys shoes for man shoe for boys</t>
  </si>
  <si>
    <t>https://www.daraz.pk/products/-i455860362.html</t>
  </si>
  <si>
    <t>https://img.drz.lazcdn.com/static/pk/p/c95c29a9381f3bda24a034181482cba7.jpg_400x400q75.avif</t>
  </si>
  <si>
    <t>Dunkfusion Sneakers Shoes For Mens - Lieght Weight Breathable Shoes For Mens - Sneakers Shoes For Boys - Dunk Sneaker For Boyes</t>
  </si>
  <si>
    <t>https://www.daraz.pk/products/dunkfusion-sneakers-shoes-for-mens-lieght-weight-breathable-shoes-for-mens-sneakers-shoes-for-boys-dunk-sneaker-for-boyes-i1948539068.html</t>
  </si>
  <si>
    <t>https://img.drz.lazcdn.com/static/pk/p/7e0fb1de70d9df2d20cd8ba8e2a4be9e.jpg_400x400q75.avif</t>
  </si>
  <si>
    <t>Men's Synthetic Leather Sneakers | Water-Resistant Casual Athletic Shoes with Cushioned Comfort</t>
  </si>
  <si>
    <t>https://www.daraz.pk/products/-i918330668.html</t>
  </si>
  <si>
    <t>https://img.drz.lazcdn.com/static/pk/p/2089a2d4ece6c1de004664a88c582a44.jpg_400x400q75.avif</t>
  </si>
  <si>
    <t>Honest mart Men's Trendy Black &amp; White Sport Running Shoes - Soft, Comfortable Airjordan Style</t>
  </si>
  <si>
    <t>https://www.daraz.pk/products/-i559025742.html</t>
  </si>
  <si>
    <t>https://img.drz.lazcdn.com/static/pk/p/f5aeebc16f39e57c513f563498033c35.jpg_400x400q75.avif</t>
  </si>
  <si>
    <t>Men Sneacker Shoe | Men Jogger Shoe | Men Casual Shoe | Men Rexene Sneacker</t>
  </si>
  <si>
    <t>https://www.daraz.pk/products/-i871860044.html</t>
  </si>
  <si>
    <t>https://img.drz.lazcdn.com/static/pk/p/8aa5e1f354f50a2072c73cba239c092f.jpg_400x400q75.avif</t>
  </si>
  <si>
    <t>Men's Sports Shoes - Stylish &amp; Comfortable Sneakers for Running, Walking &amp; Gym | Lightweight, Durable &amp; Breathable Footwear | Grey Colour Shoes for Casual, Formal &amp; Daily Wear | Trendy Men's Shoes with Slip-Resistant Sole</t>
  </si>
  <si>
    <t>https://www.daraz.pk/products/mens-sports-shoes-stylish-comfortable-sneakers-for-running-walking-gym-lightweight-durable-breathable-footwear-grey-colour-shoes-for-casual-formal-daily-wear-trendy-mens-shoes-with-slip-resistant-sole-i666816557.html</t>
  </si>
  <si>
    <t>https://img.drz.lazcdn.com/static/pk/p/1b73eb31852e3135d52619d889b586a5.png_400x400q75.avif</t>
  </si>
  <si>
    <t>https://www.daraz.pk/products/-i896629316.html</t>
  </si>
  <si>
    <t>https://img.drz.lazcdn.com/g/kf/Sf4edc7e86e6a41f8be4ee5518f4f2932H.jpg_400x400q75.avif</t>
  </si>
  <si>
    <t>Shoes For Men - Non Slip Sports Shoes For Boys - Running Shoes For Men - Joggers Shoes For Men - Cricket Shoes For Boys - Sneakers For Men - Perfect Gift For Boys</t>
  </si>
  <si>
    <t>https://www.daraz.pk/products/-i933667176.html</t>
  </si>
  <si>
    <t>https://img.drz.lazcdn.com/static/pk/p/4d37b30a7553852152c99bbd51023b3f.jpg_400x400q75.avif</t>
  </si>
  <si>
    <t>Men's Casual PU Leather Sneakers with Thick Sole and Comfortable Lace-Up Closure - Fashionable Slip-On Shoe</t>
  </si>
  <si>
    <t>https://www.daraz.pk/products/mens-casual-pu-leather-sneakers-with-thick-sole-and-comfortable-lace-up-closure-fashionable-slip-on-shoe-i382874654.html</t>
  </si>
  <si>
    <t>https://img.drz.lazcdn.com/static/pk/p/37eae69a0a33c264e0c30abbc67e1cbd.jpg_400x400q75.avif</t>
  </si>
  <si>
    <t>Adi Samba Mid Classic Unisex Sneakers -- Premium Quality Men Women Streetwear Shoes -- Comfortable, Durable &amp; Lightweight Everyday Wear -- Available in Black, Grey/White, Full Black, Green/White &amp; Black/White -- Shoetique.pk</t>
  </si>
  <si>
    <t>https://www.daraz.pk/products/shoetiquepk-i938122625.html</t>
  </si>
  <si>
    <t>https://img.drz.lazcdn.com/static/pk/p/ce838a1a34104236af231c60b17e157b.jpg_400x400q75.avif</t>
  </si>
  <si>
    <t>Dunkfusion sneakers for man - shoes for man - sneakres for Boys - shoes - men shoes sport shoes for men - boys shoes</t>
  </si>
  <si>
    <t>https://www.daraz.pk/products/-i830946463.html</t>
  </si>
  <si>
    <t>https://img.drz.lazcdn.com/g/kf/S898b2b53cdcf4877a77e5b2f6337b17ar.jpg_400x400q75.avif</t>
  </si>
  <si>
    <t>White Trendy Women's Casual Sneakers Comfortable, Stylish, and Versatile Footwear for Everyday Wear</t>
  </si>
  <si>
    <t>https://www.daraz.pk/products/white-trendy-womens-casual-sneakers-comfortable-stylish-and-versatile-footwear-for-everyday-wear-i261853392.html</t>
  </si>
  <si>
    <t>https://img.drz.lazcdn.com/static/pk/p/c5dd0486b94b78e59ce1496470f7d36a.jpg_400x400q75.avif</t>
  </si>
  <si>
    <t>Women's | Ladies | Females | Girl's Comfortable, Fashionable, Shoes College Wear | Casual Sneakers</t>
  </si>
  <si>
    <t>https://www.daraz.pk/products/-i471780390.html</t>
  </si>
  <si>
    <t>https://img.drz.lazcdn.com/static/pk/p/3b0f0a20dee39d742aab63a3e7a82daa.jpg_400x400q75.avif</t>
  </si>
  <si>
    <t>Shoes For Women - Non Slip Comfortable Durable And Lightweight Sneakers For Girls - Breathable And Washable Women's Shoes - Joggers For Girls - Perfect Gift For Girls</t>
  </si>
  <si>
    <t>https://www.daraz.pk/products/-i933228197.html</t>
  </si>
  <si>
    <t>https://img.drz.lazcdn.com/static/pk/p/d77fbde4d394be3d1623eb702e94b613.jpg_400x400q75.avif</t>
  </si>
  <si>
    <t>Sneakers for men | shoes for men | joggers for boys | new arrival | new stylish shoes |</t>
  </si>
  <si>
    <t>https://www.daraz.pk/products/-i933266750.html</t>
  </si>
  <si>
    <t>https://img.drz.lazcdn.com/static/pk/p/33f31cb792cae7fadee46003c069086d.png_400x400q75.avif</t>
  </si>
  <si>
    <t>Sports Shoes for men || Shoes for men || Stylosh shoes for men || highly qualified shoes for men</t>
  </si>
  <si>
    <t>https://www.daraz.pk/products/-i933285685.html</t>
  </si>
  <si>
    <t>https://img.drz.lazcdn.com/static/pk/p/f188aba2a7156502497a82c37eac6217.jpg_400x400q75.avif</t>
  </si>
  <si>
    <t>sneakers for men ll new stylish sneakers for men ll Air Jordans premium mens sneakers.</t>
  </si>
  <si>
    <t>https://www.daraz.pk/products/ll-ll-i924766262.html</t>
  </si>
  <si>
    <t>https://img.drz.lazcdn.com/g/kf/S53f40c2d42b44e839b3a07fd1a240a06i.jpg_400x400q75.avif</t>
  </si>
  <si>
    <t>White Sneakers For Men || Shoes For Men || Tranding White Sneakers For men</t>
  </si>
  <si>
    <t>https://www.daraz.pk/products/-i445477122.html</t>
  </si>
  <si>
    <t>https://img.drz.lazcdn.com/static/pk/p/3db8927fc8674cc8b3d293583b993198.jpg_400x400q75.avif</t>
  </si>
  <si>
    <t>https://www.daraz.pk/products/dunkfusion-sneakers-shoes-for-mens-lieght-weight-breathable-shoes-for-mens-sneakers-shoes-for-boys-dunk-shoes-mens-shoes-i935208806.html</t>
  </si>
  <si>
    <t>https://img.drz.lazcdn.com/g/kf/S9bc1c366e03843859f011e5c5a928fb5P.jpg_400x400q75.avif</t>
  </si>
  <si>
    <t>Sports shoes for men High qualified shoes for men shoes for men</t>
  </si>
  <si>
    <t>https://www.daraz.pk/products/-i540378362.html</t>
  </si>
  <si>
    <t>https://img.drz.lazcdn.com/static/pk/p/94728e96e0ba7832df86b604ae4fa3ce.jpg_400x400q75.avif</t>
  </si>
  <si>
    <t>https://www.daraz.pk/products/-i591357819.html</t>
  </si>
  <si>
    <t>https://img.drz.lazcdn.com/static/pk/p/2916cd08339069117a022895271886c6.jpg_400x400q75.avif</t>
  </si>
  <si>
    <t>SNEAKERS FOR BOYS, SNEAKERS FOR MAN, JOGGERS FOR BOYS, JOGGERS FOR MAN, CASUAL SHOES FOR MAN, CASUAL SHOES FOR BOYS</t>
  </si>
  <si>
    <t>https://www.daraz.pk/products/-i913779879.html</t>
  </si>
  <si>
    <t>https://img.drz.lazcdn.com/g/kf/S56960008b7e74ce893187357a80701ceW.jpg_400x400q75.avif</t>
  </si>
  <si>
    <t>https://www.daraz.pk/products/-i923917744.html</t>
  </si>
  <si>
    <t>https://img.drz.lazcdn.com/static/pk/p/497486f2a8f9e88e41d78ddd77a19779.jpg_400x400q75.avif</t>
  </si>
  <si>
    <t>Adidas Samba OG</t>
  </si>
  <si>
    <t>https://www.daraz.pk/products/-i946856383.html</t>
  </si>
  <si>
    <t>https://img.drz.lazcdn.com/g/kf/Sccbc8bb9b4024201be45b469395328f6X.jpg_400x400q75.avif</t>
  </si>
  <si>
    <t>Man's all star converse Sneakers lowcut</t>
  </si>
  <si>
    <t>https://www.daraz.pk/products/-i471078195.html</t>
  </si>
  <si>
    <t>https://img.drz.lazcdn.com/g/kf/S6fafd8ebb9a347c4a1e589765f55e43bi.jpg_400x400q75.avif</t>
  </si>
  <si>
    <t>https://www.daraz.pk/products/-i601527852.html</t>
  </si>
  <si>
    <t>https://img.drz.lazcdn.com/g/kf/S6cc02bbde0824f3e97d36214ba98751cc.jpg_400x400q75.avif</t>
  </si>
  <si>
    <t>https://www.daraz.pk/products/-i930427363.html</t>
  </si>
  <si>
    <t>https://img.drz.lazcdn.com/static/pk/p/a276c5651f19aaff28e29f86073ad3d7.jpg_400x400q75.avif</t>
  </si>
  <si>
    <t>https://www.daraz.pk/products/-i928735500.html</t>
  </si>
  <si>
    <t>https://img.drz.lazcdn.com/static/pk/p/df6ea904921885ab95a73c643b8b3c85.jpg_400x400q75.avif</t>
  </si>
  <si>
    <t>FLK BOSS GYM ZIK ZAK Shoes For Men - Non Slip Sports Shoes For Boys - Running Shoes For Men - Joggers Shoes For Men - Cricket Shoes For Boys - Sneakers For Men -</t>
  </si>
  <si>
    <t>https://www.daraz.pk/products/zik-zak-i890179106.html</t>
  </si>
  <si>
    <t>https://img.drz.lazcdn.com/static/pk/p/0382e6e3255de148fd10a593ccbb8cd4.png_400x400q75.avif</t>
  </si>
  <si>
    <t>Sports Sneakers for men Shoes for men Stylish shoes for men</t>
  </si>
  <si>
    <t>https://www.daraz.pk/products/-i572749192.html</t>
  </si>
  <si>
    <t>https://img.drz.lazcdn.com/static/pk/p/4e3fbf9dffbee8b0b99ba528d7d07908.jpg_400x400q75.avif</t>
  </si>
  <si>
    <t>Samba Style White &amp; Black Sneakers for Men | Casual Sports Shoes | Comfortable Lace Up Fashion Shoes for Boys</t>
  </si>
  <si>
    <t>https://www.daraz.pk/products/-i1947595039.html</t>
  </si>
  <si>
    <t>https://img.drz.lazcdn.com/static/pk/p/883d378fe768d94e3f841f836af51c69.jpg_400x400q75.avif</t>
  </si>
  <si>
    <t>Shoes for Mens | Walking Casual Sketchers Sneakers</t>
  </si>
  <si>
    <t>https://www.daraz.pk/products/-i1947217891.html</t>
  </si>
  <si>
    <t>https://img.drz.lazcdn.com/static/pk/p/0714805e1dc0e0ddae0118dc30930879.jpg_400x400q75.avif</t>
  </si>
  <si>
    <t>Dunkfusion Sneakers Shoes for Men | Lightweight &amp; Breathable Casual Sneakers | Stylish Shoes for Boys &amp; Men | Comfortable Daily Wear Shoes</t>
  </si>
  <si>
    <t>https://www.daraz.pk/products/-i945442212.html</t>
  </si>
  <si>
    <t>https://img.drz.lazcdn.com/static/pk/p/d6549eecf14e1d6f604636a0b4c42ab1.png_400x400q75.avif</t>
  </si>
  <si>
    <t>White Sneakers – Black Patch Design | Stylish &amp; Air-Cushioned</t>
  </si>
  <si>
    <t>https://www.daraz.pk/products/-i1947446315.html</t>
  </si>
  <si>
    <t>https://img.drz.lazcdn.com/static/pk/p/ea6dd6ef6a9e741619ed2d05725c85ce.jpg_400x400q75.avif</t>
  </si>
  <si>
    <t>TOMS unisex syanno black canvas shoes</t>
  </si>
  <si>
    <t>https://www.daraz.pk/products/-i450881080.html</t>
  </si>
  <si>
    <t>https://img.drz.lazcdn.com/g/kf/S23ffcdfbcdde41258f52845d6903b148j.jpg_400x400q75.avif</t>
  </si>
  <si>
    <t>Plain White Sneakers for Men and Womens</t>
  </si>
  <si>
    <t>https://www.daraz.pk/products/-i539942075.html</t>
  </si>
  <si>
    <t>https://img.drz.lazcdn.com/static/pk/p/e36356d4d40f525ae75a76de6563206c.jpg_400x400q75.avif</t>
  </si>
  <si>
    <t>FLK BOSS 2025 Mens Excercise Running Sneakers Casual shoes Fashion Breathable Fast shoes Training sneakers for Men Tennis Trending sneakers for walking gym</t>
  </si>
  <si>
    <t>https://www.daraz.pk/products/flk-2025-i649143680.html</t>
  </si>
  <si>
    <t>https://img.drz.lazcdn.com/static/pk/p/ea24d6c87a734c66524b6d248feada8e.jpg_400x400q75.avif</t>
  </si>
  <si>
    <t>https://www.daraz.pk/products/-i927595517.html</t>
  </si>
  <si>
    <t>https://img.drz.lazcdn.com/g/kf/Sd6f0f6ea1bc24538910e73152078d2965.jpg_400x400q75.avif</t>
  </si>
  <si>
    <t>IMPORTED ZIK ZAK Shoes For Men - Gym Walking Non Slip Sports Shoes For Boys - Running Shoes For Men - Joggers Shoes For Men - Cricket Shoes For Boys - Sneakers For Men - Perfect Gift For Boys</t>
  </si>
  <si>
    <t>https://www.daraz.pk/products/-i890137818.html</t>
  </si>
  <si>
    <t>https://img.drz.lazcdn.com/collect/sg/p/1148efe1954d6315c13614c98a37f51b.jpg_400x400q75.avif</t>
  </si>
  <si>
    <t>Sneakers For Men Shoes For Men - Sneakers For Boys - Shoes - Men Shoes - Sports Shoes For Men - Boys Shoes All-Season Casual Hiking Sneakers-Comfortable Walking Shoes for Men and Women-Spring/Summer/Fall/Winter Seasons - Perfect for Daily Casual Wear</t>
  </si>
  <si>
    <t>https://www.daraz.pk/products/-i928766623.html</t>
  </si>
  <si>
    <t>https://img.drz.lazcdn.com/static/pk/p/7c760651ffead3ab2123b8432e9c81ab.jpg_400x400q75.avif</t>
  </si>
  <si>
    <t>Sneakers For Men - Shoes For Men - Sneakers For Boys - Shoes - Men Shoes - Sports Shoes For Men - Boys Shoes All-Season Casual Hiking Sneakers-Comfortable Walking Shoes for Men and Women</t>
  </si>
  <si>
    <t>https://www.daraz.pk/products/-i470717912.html</t>
  </si>
  <si>
    <t>https://img.drz.lazcdn.com/static/pk/p/47d8f576fc9a8232d2022145b92757cd.jpg_400x400q75.avif</t>
  </si>
  <si>
    <t>Men's Canvas Slip-On Loafers 100% Comfortable | Lightweight Casual Sneakers &amp; Comfortable Walking Shoes for Men | Cushioned sole for comfortable running</t>
  </si>
  <si>
    <t>https://www.daraz.pk/products/100-i938363940.html</t>
  </si>
  <si>
    <t>https://img.drz.lazcdn.com/static/pk/p/7771d8e86f70c410fa47647b77341b4c.jpg_400x400q75.avif</t>
  </si>
  <si>
    <t>Running Sneakers For Men,Women Lightweight Sports Shoes Classical Mesh Breathable Casual Shoes Male Fashion Casual , Office , School , Sports Activity &amp; outdoor use Moccasins Jet Black Sneaker Low Price , Discount Sale</t>
  </si>
  <si>
    <t>https://www.daraz.pk/products/-i493519541.html</t>
  </si>
  <si>
    <t>https://img.drz.lazcdn.com/g/kf/S4b17f79be54a480cbf6b45481863acb0l.jpg_400x400q75.avif</t>
  </si>
  <si>
    <t>Men's Double High Sole madicated Fashion Joggers | Trending Chunky Sneakers | Comfortable Sports Shoes for Men | Casual Streetwear Trainers | Sizes 26-37</t>
  </si>
  <si>
    <t>https://www.daraz.pk/products/26-37-i936548150.html</t>
  </si>
  <si>
    <t>https://img.drz.lazcdn.com/g/kf/Sa0e6d858c0344b07ac2cc0b2dab9629cr.jpg_400x400q75.avif</t>
  </si>
  <si>
    <t>New Stylish Sneakers for Mens and Womens</t>
  </si>
  <si>
    <t>https://www.daraz.pk/products/-i376083832.html</t>
  </si>
  <si>
    <t>https://img.drz.lazcdn.com/static/pk/p/6544f9c43c7d286e0efdd078cc802d8f.jpg_400x400q75.avif</t>
  </si>
  <si>
    <t>Sneakers for mens and womens</t>
  </si>
  <si>
    <t>https://www.daraz.pk/products/-i461905177.html</t>
  </si>
  <si>
    <t>https://img.drz.lazcdn.com/static/pk/p/6b728b9cdb050a4c34380f9ffa08c681.jpg_400x400q75.avif</t>
  </si>
  <si>
    <t>Shoes. Sneakers. Laceless Shoes. Shoes For Men. Sneakers For Men. Breathable Shoes. Joggers Shoes. Light Weight Running Shoes. Comfortable For ( Walking, Gym, Running, Casual, Formal ) - STEPIN TRENDS</t>
  </si>
  <si>
    <t>https://www.daraz.pk/products/-i703746391.html</t>
  </si>
  <si>
    <t>https://img.drz.lazcdn.com/g/kf/S762aa17d391f4a9797247788c4fcd959p.jpg_400x400q75.avif</t>
  </si>
  <si>
    <t>Dunkfusion sneakers for man - shoes for man - sneakres for Boys - shoes - men shoes sport shoes for men - boys shoes - Fashion shoes - Long shoes</t>
  </si>
  <si>
    <t>https://www.daraz.pk/products/-i831273154.html</t>
  </si>
  <si>
    <t>https://img.drz.lazcdn.com/g/kf/S234aa7e016ab4b1b8185c4b34ad40b87S.jpg_400x400q75.avif</t>
  </si>
  <si>
    <t>Skechers memory foam ultra go Goodyear Shoes</t>
  </si>
  <si>
    <t>https://www.daraz.pk/products/-i489036903.html</t>
  </si>
  <si>
    <t>https://img.drz.lazcdn.com/g/kf/S13921adabb064182b3cb60f4386f04c2h.jpg_400x400q75.avif</t>
  </si>
  <si>
    <t>Men Synthetic Leather summer Loufers 2025 casual walking outdoor running Gym sneakers shoes for men</t>
  </si>
  <si>
    <t>https://www.daraz.pk/products/men-synthetic-leather-summer-loufers-2025-casual-walking-outdoor-running-gym-sneakers-shoes-for-men-i407546195.html</t>
  </si>
  <si>
    <t>https://img.drz.lazcdn.com/static/pk/p/5de656745b2195ab2db65ad888be0fbf.jpg_400x400q75.avif</t>
  </si>
  <si>
    <t>https://www.daraz.pk/products/-i831233885.html</t>
  </si>
  <si>
    <t>https://img.drz.lazcdn.com/g/kf/Sac594b5233b04d43a9750f5fba69414bx.jpg_400x400q75.avif</t>
  </si>
  <si>
    <t>White Women Canvas Sneaker China Import-Soft</t>
  </si>
  <si>
    <t>https://www.daraz.pk/products/-i249977771.html</t>
  </si>
  <si>
    <t>https://img.drz.lazcdn.com/static/pk/p/8adb5b1657415fcc46d429549088d85b.jpg_400x400q75.avif</t>
  </si>
  <si>
    <t>https://www.daraz.pk/products/nbh-i944023791.html</t>
  </si>
  <si>
    <t>https://img.drz.lazcdn.com/static/pk/p/b1d8a8dcb629bf3bb2e6169fa598ad49.jpg_400x400q75.avif</t>
  </si>
  <si>
    <t>Comfortable Sneakers For Girls/Womens</t>
  </si>
  <si>
    <t>https://www.daraz.pk/products/-i437842936.html</t>
  </si>
  <si>
    <t>https://img.drz.lazcdn.com/static/pk/p/81979f00cc077001243a4865a675840f.jpg_400x400q75.avif</t>
  </si>
  <si>
    <t>Sneakers For Men - Shoes For Men - Sneakers For Boys - Shoes - Men Shoes - Sports Shoes For Men -</t>
  </si>
  <si>
    <t>https://www.daraz.pk/products/-i912244171.html</t>
  </si>
  <si>
    <t>https://img.drz.lazcdn.com/static/pk/p/b69ab5b5bb4db28cf5dbb9974d250b49.jpg_400x400q75.avif</t>
  </si>
  <si>
    <t>Shoes For Men - Sneakers For Boys - Shoes - Men Shoes - Sports Shoes For Men - Boys Shoes All-Season Casual Hiking Sneakers-Comfortable Walking Shoes for Men and Women-Spring/Summer/Fall/Winter Seasons - Perfect for Daily Casual Wear</t>
  </si>
  <si>
    <t>https://www.daraz.pk/products/-i925390433.html</t>
  </si>
  <si>
    <t>https://img.drz.lazcdn.com/static/pk/p/28ec6fc7c163347daf0eda137df1ebea.png_400x400q75.avif</t>
  </si>
  <si>
    <t>DELUXE Casual Clogs for Mens Best Quality EVA Running Sneakers for Mens</t>
  </si>
  <si>
    <t>https://www.daraz.pk/products/deluxe-casual-clogs-for-mens-best-quality-eva-running-sneakers-for-mens-i573369315.html</t>
  </si>
  <si>
    <t>https://img.drz.lazcdn.com/g/kf/S3a085d1dc3934619adbd89283e989910b.jpg_400x400q75.avif</t>
  </si>
  <si>
    <t>Islamabad</t>
  </si>
  <si>
    <t>PRISM Comfort and Style with Lightweight and Genuine All Season Casual Sports Shoes for Men and Women - Perfect for Running, Walking, Cross-Training, and Everyday Sneakers. Men's Breathable Mesh Running Shoes, Sneakers for men, Girls Sneakers, Boys Shoes</t>
  </si>
  <si>
    <t>https://www.daraz.pk/products/prism-comfort-and-style-with-lightweight-and-genuine-all-season-casual-sports-shoes-for-men-and-women-perfect-for-running-walking-cross-training-and-everyday-sneakers-mens-breathable-mesh-running-shoes-sneakers-for-men-girls-sneakers-boys-shoes-i468972941.html</t>
  </si>
  <si>
    <t>https://img.drz.lazcdn.com/g/kf/S44fe1ce411b64221b62f1b63475bcc41k.jpg_400x400q75.avif
https://img.lazcdn.com/us/lzd-onepiece/15a099fc32e820d975854161069e09941769421407651.png</t>
  </si>
  <si>
    <t>Sneakers for boys/ comfortable sneakers for mens/ imported sneakers for boys</t>
  </si>
  <si>
    <t>https://www.daraz.pk/products/-i933235990.html</t>
  </si>
  <si>
    <t>https://img.drz.lazcdn.com/g/kf/Sab94b35a113e47cca73dcc078599ef77I.jpg_400x400q75.avif</t>
  </si>
  <si>
    <t>Trendy Casual Lace Up White Sports Shoes For Mens Fashion Sneakers For Men, Men's Footwear Shoes for Gym Tennis Men Athletics Road Lightweight Shoes</t>
  </si>
  <si>
    <t>https://www.daraz.pk/products/trendy-casual-lace-up-white-sports-shoes-for-mens-fashion-sneakers-for-men-mens-footwear-shoes-for-gym-tennis-men-athletics-road-lightweight-shoes-i658747803.html</t>
  </si>
  <si>
    <t>https://img.drz.lazcdn.com/static/pk/p/984804068b184c89515478e9661d4006.jpg_400x400q75.avif</t>
  </si>
  <si>
    <t>New Stylish Trendy Sneaker For Mens Shoes For Mens Shoes For Boys</t>
  </si>
  <si>
    <t>https://www.daraz.pk/products/new-stylish-trendy-sneaker-for-mens-shoes-for-mens-shoes-for-boys-i665817231.html</t>
  </si>
  <si>
    <t>https://img.drz.lazcdn.com/static/pk/p/e69d5ca59e306c989b16b8ad0282fff9.jpg_400x400q75.avif</t>
  </si>
  <si>
    <t>Sneakers For Men - Shoes For Men - Sneakers Shoes For Men - Boys Shoe Shoes for Men and Women-Spring/Summer/Fall/Winter Seasons - Perfect for Daily Casual Wea</t>
  </si>
  <si>
    <t>https://www.daraz.pk/products/-i914363263.html</t>
  </si>
  <si>
    <t>https://img.drz.lazcdn.com/static/pk/p/aa5aeef0816a502b08512db13da3696a.jpg_400x400q75.avif</t>
  </si>
  <si>
    <t>Men's Casual Sneakers -- Lightweight Black &amp; White Running &amp; Walking Shoes | Breathable Non-Slip Sports Shoes for All-Day Comfort</t>
  </si>
  <si>
    <t>https://www.daraz.pk/products/-i453879439.html</t>
  </si>
  <si>
    <t>https://img.drz.lazcdn.com/static/pk/p/3db10b407171883ff56cebd3d7866802.jpg_400x400q75.avif</t>
  </si>
  <si>
    <t>White Sneaker Shoes For Mens women Lieght Weight Comfartable Sneaker For Mens Trending Classic Sneaker Shoes For Mens Sneaker For Boys Sneaker For Mens</t>
  </si>
  <si>
    <t>https://www.daraz.pk/products/white-sneaker-shoes-for-mens-women-lieght-weight-comfartable-sneaker-for-mens-trending-classic-sneaker-shoes-for-mens-sneaker-for-boys-sneaker-for-mens-i658740680.html</t>
  </si>
  <si>
    <t>https://img.drz.lazcdn.com/static/pk/p/24a59e1913ecb991fa2360a062dc3801.jpg_400x400q75.avif</t>
  </si>
  <si>
    <t>Men's Sneakers White Shoes Casual Spring Summer Outdoor Sneakers Sports Summer Athletic Shoes Running Sneakers White Training Tennis Boys Original Sneakers</t>
  </si>
  <si>
    <t>https://www.daraz.pk/products/mens-sneakers-white-shoes-casual-spring-summer-outdoor-sneakers-sports-summer-athletic-shoes-running-sneakers-white-training-tennis-boys-original-sneakers-i449531627.html</t>
  </si>
  <si>
    <t>https://img.drz.lazcdn.com/static/pk/p/f1fec1409cadd812ee3df61692231d8d.png_400x400q75.avif</t>
  </si>
  <si>
    <t>Fashionable Black Jeans sneakers for Mens and Womens</t>
  </si>
  <si>
    <t>https://www.daraz.pk/products/-i539862637.html</t>
  </si>
  <si>
    <t>https://img.drz.lazcdn.com/static/pk/p/d632927dee63eec3adf5b457c2c35dd1.jpg_400x400q75.avif</t>
  </si>
  <si>
    <t>Men's Rexine Fancy Sneakers | Mens Shoes | Style Hashtag</t>
  </si>
  <si>
    <t>https://www.daraz.pk/products/-i933146636.html</t>
  </si>
  <si>
    <t>https://img.drz.lazcdn.com/static/pk/p/06f9ba4f845c8bb2f162b568bd6f5b9c.jpg_400x400q75.avif</t>
  </si>
  <si>
    <t>Men's Athletic Running Sneakers</t>
  </si>
  <si>
    <t>https://www.daraz.pk/products/-i479591921.html</t>
  </si>
  <si>
    <t>https://img.drz.lazcdn.com/g/kf/S2ecf85702c6a4be39ccea7e641262bf07.jpg_400x400q75.avif</t>
  </si>
  <si>
    <t>Samba sneakers shoes sneakers running shoes comfortable lightweight sports shoes</t>
  </si>
  <si>
    <t>https://www.daraz.pk/products/-i923134721.html</t>
  </si>
  <si>
    <t>https://img.drz.lazcdn.com/g/kf/S0c902d3c9332443babb5ca312ed3eccbh.jpg_400x400q75.avif</t>
  </si>
  <si>
    <t>Dunkfusion Sneakers Shoes For Mens - Lieght Weight Breathable Shoes For Mens - Sneakers Shoes For Boys - Dunk - Shoes - Mens Shoes blue&amp;white</t>
  </si>
  <si>
    <t>https://www.daraz.pk/products/dunkfusion-sneakers-shoes-for-mens-lieght-weight-breathable-shoes-for-mens-sneakers-shoes-for-boys-dunk-shoes-mens-shoes-bluewhite-i946588411.html</t>
  </si>
  <si>
    <t>https://img.drz.lazcdn.com/static/pk/p/23f3c75e53836b30b3eb95d580632265.png_400x400q75.avif</t>
  </si>
  <si>
    <t>Sneakers For Men - Shoes For Men - Sneakers Shoes For Men - Boys Shoe Shoes for Men and -Spring/Summer/Fall/Winter Seasons - Perfect for Daily Casual Wear Shoes</t>
  </si>
  <si>
    <t>https://www.daraz.pk/products/sneakers-for-men-shoes-for-men-sneakers-shoes-for-men-boys-shoe-shoes-for-men-and-springsummerfallwinter-seasons-perfect-for-daily-casual-wear-shoes-i669840286.html</t>
  </si>
  <si>
    <t>https://img.drz.lazcdn.com/static/pk/p/5d26f493abad574ecb44175eefdb94dc.jpg_400x400q75.avif</t>
  </si>
  <si>
    <t>Sneakers For Men - Shoes For Men - Sneakers For Boys - Shoes - Men Shoes - Sports Shoes For Men - Boys Shoes All-Season Casual Hiking Sneakers-Comfortable Walking Shoes for Men and Women-Spring/Summer/Fall/Winter Seasons - Perfect for Daily Casual Wear</t>
  </si>
  <si>
    <t>https://www.daraz.pk/products/-i912240296.html</t>
  </si>
  <si>
    <t>Trendy Casual Lace Up Sports Shoes For Men Fashion Sneakers For Men, Men's Footwear Shoes for Gym Tennis Men Athletics Road Running Lightweight Shoes</t>
  </si>
  <si>
    <t>https://www.daraz.pk/products/trendy-casual-lace-up-sports-shoes-for-men-fashion-sneakers-for-men-mens-footwear-shoes-for-gym-tennis-men-athletics-road-running-lightweight-shoes-i668728069.html</t>
  </si>
  <si>
    <t>https://img.drz.lazcdn.com/static/pk/p/a6b807a1fb0f31982f7cd640863766e9.jpg_400x400q75.avif</t>
  </si>
  <si>
    <t>Black Camel Shoes for Mens | Walking Casual Sketchers Sneakers | Super Comfort 851 and 6276</t>
  </si>
  <si>
    <t>https://www.daraz.pk/products/851-6276-i897674372.html</t>
  </si>
  <si>
    <t>https://img.drz.lazcdn.com/static/pk/p/1ade0a5b587b2e9e9ca3db32828dbffa.jpg_400x400q75.avif
https://img.lazcdn.com/us/lzd-onepiece/15a099fc32e820d975854161069e09941769421407651.png</t>
  </si>
  <si>
    <t>New Jeans Black Sneaker Shoes For Mens Lieght Weight Comfartable Sneaker For Mens Trending Classic Sneaker Shoes For Mens Sneaker For Boys Sneaker For Mens</t>
  </si>
  <si>
    <t>https://www.daraz.pk/products/new-jeans-black-sneaker-shoes-for-mens-lieght-weight-comfartable-sneaker-for-mens-trending-classic-sneaker-shoes-for-mens-sneaker-for-boys-sneaker-for-mens-i658741514.html</t>
  </si>
  <si>
    <t>https://img.drz.lazcdn.com/static/pk/p/4723b3d952ab7f628c05707627a3f2d6.jpg_400x400q75.avif</t>
  </si>
  <si>
    <t>Nikee Sneakers for Men - Stylish and Durable</t>
  </si>
  <si>
    <t>https://www.daraz.pk/products/-i920203082.html</t>
  </si>
  <si>
    <t>https://img.drz.lazcdn.com/g/kf/S8b01625d2854412cb1377971da05af7eP.jpg_400x400q75.avif</t>
  </si>
  <si>
    <t>Sneaker White</t>
  </si>
  <si>
    <t>https://www.daraz.pk/products/-i614849529.html</t>
  </si>
  <si>
    <t>https://img.drz.lazcdn.com/static/pk/p/dd6edd97eb5390823195333e0f79023f.jpg_400x400q75.avif</t>
  </si>
  <si>
    <t>Mens Exercise Sports &amp; outdoor Comfortable light weight Sneakers Running Walking Gym Fashion Breathable Shoes For Boys</t>
  </si>
  <si>
    <t>https://www.daraz.pk/products/mens-exercise-sports-outdoor-comfortable-light-weight-sneakers-running-walking-gym-fashion-breathable-shoes-for-boys-i498564845.html</t>
  </si>
  <si>
    <t>https://img.drz.lazcdn.com/static/pk/p/cce8c71670a6f8f49fa41fc134ed676b.jpg_400x400q75.avif</t>
  </si>
  <si>
    <t>Black Camel Shoes For Men Gripper Joggers For Mens - Shoes for Men - Shoes for Boys - Best Gripper for Men 8235</t>
  </si>
  <si>
    <t>https://www.daraz.pk/products/8235-i914624900.html</t>
  </si>
  <si>
    <t>https://img.drz.lazcdn.com/static/pk/p/0174c3ef63d523481a24da04ee628bf6.png_400x400q75.avif
https://img.lazcdn.com/us/lzd-onepiece/15a099fc32e820d975854161069e09941769421407651.png</t>
  </si>
  <si>
    <t>https://www.daraz.pk/products/-i831559799.html</t>
  </si>
  <si>
    <t>https://img.drz.lazcdn.com/g/kf/S448cbe17a64944a4af08fd05eb6374aee.jpg_400x400q75.avif</t>
  </si>
  <si>
    <t>DunkFusion Sneakers For Men</t>
  </si>
  <si>
    <t>https://www.daraz.pk/products/dunkfusion-sneakers-for-men-i911680968.html</t>
  </si>
  <si>
    <t>https://img.drz.lazcdn.com/static/pk/p/67156752bbf96dbae512907c107a4562.jpg_400x400q75.avif</t>
  </si>
  <si>
    <t>FLK BOSS Mens Excercise Running Sneakers Casual shoes Fashion Breathable Fast shoes Training sneakers for Men Tennis Trending sneakers for walking gym</t>
  </si>
  <si>
    <t>https://www.daraz.pk/products/flk-i649133487.html</t>
  </si>
  <si>
    <t>https://img.drz.lazcdn.com/static/pk/p/007c2df3753574f5cbbaf33030ea3d27.jpg_400x400q75.avif</t>
  </si>
  <si>
    <t>New Mustard Trending Stylish Sneakers for Men - Best for Parties and Outings</t>
  </si>
  <si>
    <t>https://www.daraz.pk/products/new-mustard-trending-stylish-sneakers-for-men-best-for-parties-and-outings-i586564035.html</t>
  </si>
  <si>
    <t>https://img.drz.lazcdn.com/g/kf/S5f2885d1a664414c9a10c6e460dd6fdbl.jpg_400x400q75.avif</t>
  </si>
  <si>
    <t>FLK BOSS Super ZIK ZAK Shoes For Men - Non Slip Sports Shoes For Boys - Running Shoes For Men - Joggers Shoes For Men - Cricket Shoes For Boys - Sneakers For Men - Perfect Gift For Boys</t>
  </si>
  <si>
    <t>https://www.daraz.pk/products/flk-zak-i890184300.html</t>
  </si>
  <si>
    <t>https://img.drz.lazcdn.com/static/pk/p/2cc15c0ff5ac211def6268e85f6b082d.png_400x400q75.avif</t>
  </si>
  <si>
    <t>Black sneakers for mens &amp; womens</t>
  </si>
  <si>
    <t>https://www.daraz.pk/products/-i398000408.html</t>
  </si>
  <si>
    <t>https://img.drz.lazcdn.com/static/pk/p/cb161257d0436a5ff3815b6589503695.jpg_400x400q75.avif</t>
  </si>
  <si>
    <t>Men Summer Fashion 2024 Loufers sendals shoes outdoor Comfortable light weight Running Walking Gym Fashion Breathable</t>
  </si>
  <si>
    <t>https://www.daraz.pk/products/2024-i485319999.html</t>
  </si>
  <si>
    <t>https://img.drz.lazcdn.com/static/pk/p/0a4a65043636dce36e1948794ba041fd.jpg_400x400q75.avif</t>
  </si>
  <si>
    <t>walking outdoor running sneakers shoes - Shoes for Men - Shoes for Boys</t>
  </si>
  <si>
    <t>https://www.daraz.pk/products/walking-outdoor-running-sneakers-shoes-shoes-for-men-shoes-for-boys-i400900538.html</t>
  </si>
  <si>
    <t>https://img.drz.lazcdn.com/static/pk/p/9f745177f8084cdada49b96ab96776ea.jpg_400x400q75.avif</t>
  </si>
  <si>
    <t>Lace Up Sneakers for men| Casual sneakers for mens | Fashion Soft Low Top Lightweight Walking sneakers Shoes | Thick and chunky sole Sneakers for men | winter shoes and sneakers for mens | sneakers for mens | High Quality Sneakers for boys and men</t>
  </si>
  <si>
    <t>https://www.daraz.pk/products/lace-up-sneakers-for-men-casual-sneakers-for-mens-fashion-soft-low-top-lightweight-walking-sneakers-shoes-thick-and-chunky-sole-sneakers-for-men-winter-shoes-and-sneakers-for-mens-sneakers-for-mens-high-quality-sneakers-for-boys-and-men-i933669495.html</t>
  </si>
  <si>
    <t>https://img.drz.lazcdn.com/static/pk/p/256f464fad534bc1ab90dde73fbc798e.png_400x400q75.avif</t>
  </si>
  <si>
    <t>Comfortable and Fashionable Sneaker Shoes for Women and Girls - Latest Collection</t>
  </si>
  <si>
    <t>https://www.daraz.pk/products/comfortable-and-fashionable-sneaker-shoes-for-women-and-girls-latest-collection-i268564789.html</t>
  </si>
  <si>
    <t>https://img.drz.lazcdn.com/static/pk/p/fd4b4ddbdcbbb76998e065e1a2d3ef42.jpg_400x400q75.avif</t>
  </si>
  <si>
    <t>Army Green Sports &amp; outdoor Comfortable light weight Sneakers Running Walking Gym Fashion Breathable</t>
  </si>
  <si>
    <t>https://www.daraz.pk/products/army-green-sports-outdoor-comfortable-light-weight-sneakers-running-walking-gym-fashion-breathable-i364038633.html</t>
  </si>
  <si>
    <t>https://img.drz.lazcdn.com/static/pk/p/69e3bb47fedc4ad73c92efdb81fe012f.jpg_400x400q75.avif</t>
  </si>
  <si>
    <t>New Fashion Men Low Top Sneakers with Chunky Sole - Casual Sports Walking Shoes - Thick Sole - Comfortable Walking Shoes</t>
  </si>
  <si>
    <t>https://www.daraz.pk/products/new-fashion-men-low-top-sneakers-with-chunky-sole-casual-sports-walking-shoes-thick-sole-comfortable-walking-shoes-i725468943.html</t>
  </si>
  <si>
    <t>https://img.drz.lazcdn.com/static/pk/p/6873cbe37276a88793d440b566fdb9a6.png_400x400q75.avif</t>
  </si>
  <si>
    <t>https://www.daraz.pk/products/new-trending-stylish-air-style-sneaker-shoes-for-mens-light-weight-comfortable-breathable-sneakers-for-boys-shoes-men-shoes-i668705196.html</t>
  </si>
  <si>
    <t>https://img.drz.lazcdn.com/static/pk/p/30be73aa92b828d0db9192d57a1c4bd6.jpg_400x400q75.avif</t>
  </si>
  <si>
    <t>SCS MENS LV sneakers shoes</t>
  </si>
  <si>
    <t>https://www.daraz.pk/products/scs-lv-i497707629.html</t>
  </si>
  <si>
    <t>https://img.drz.lazcdn.com/g/kf/S92345547c8d0447298299effabc2ac1cM.jpg_400x400q75.avif</t>
  </si>
  <si>
    <t>Azad Kashmir</t>
  </si>
  <si>
    <t>https://www.daraz.pk/products/new-mens-fashionabel-sneakers-running-shoes-gym-joggers-lightwight-and-comfortable-shoes-for-boys-tannies-sneakers-i912232386.html</t>
  </si>
  <si>
    <t>https://img.drz.lazcdn.com/static/pk/p/6d9acb128915afd5c17f71e2c1badb76.jpg_400x400q75.avif</t>
  </si>
  <si>
    <t>Plain sneakers for Mens and Womens,comfortable and high quality shoes</t>
  </si>
  <si>
    <t>https://www.daraz.pk/products/-i387233351.html</t>
  </si>
  <si>
    <t>https://img.drz.lazcdn.com/g/kf/S014f4e8c2151403cb67d118cdc04ca80h.jpg_400x400q75.avif</t>
  </si>
  <si>
    <t>Imported Man's Convese Sneakers</t>
  </si>
  <si>
    <t>https://www.daraz.pk/products/-i456625813.html</t>
  </si>
  <si>
    <t>https://img.drz.lazcdn.com/g/kf/S6c46c98893134d5a86f72aed0bbf047fo.jpg_400x400q75.avif</t>
  </si>
  <si>
    <t>Men Imported Sneakers, Men Casual Shoes, Boys Casual Footwear New Design</t>
  </si>
  <si>
    <t>https://www.daraz.pk/products/-i923403388.html</t>
  </si>
  <si>
    <t>https://img.drz.lazcdn.com/g/kf/S9e21fe4ba7ed448eb672e531cb0d6896c.jpg_400x400q75.avif</t>
  </si>
  <si>
    <t>Classic Canvas Kicks for Everyday Style for mens | shoes for mens | sneakers for boys</t>
  </si>
  <si>
    <t>https://www.daraz.pk/products/-i884975025.html</t>
  </si>
  <si>
    <t>https://img.drz.lazcdn.com/g/kf/Sc9e81f235d8841d1aa50b0401ebf7c3b1.jpg_400x400q75.avif</t>
  </si>
  <si>
    <t>Super ZIK ZAK Shoes For Men - Non Slip Sports Shoes For Boys - Running Shoes For Men - Joggers Shoes For Men - Cricket Shoes For Boys - Sneakers For Men - Perfect Gift For Boys</t>
  </si>
  <si>
    <t>https://www.daraz.pk/products/-i890152632.html</t>
  </si>
  <si>
    <t>https://img.drz.lazcdn.com/static/pk/p/3e1d6cde0b45078d9c4ca42afd9bd295.png_400x400q75.avif</t>
  </si>
  <si>
    <t>Full Trendy Dunk Sneakers Shoes For Mens - Shoes For Mens - Sneakers Shoes For Boys - Sports Shoes For Men - Lieght Weight Breathable Comfortable Shoes for - Men Shoes</t>
  </si>
  <si>
    <t>https://www.daraz.pk/products/full-trendy-dunk-sneakers-shoes-for-mens-shoes-for-mens-sneakers-shoes-for-boys-sports-shoes-for-men-lieght-weight-breathable-comfortable-shoes-for-men-shoes-i669826521.html</t>
  </si>
  <si>
    <t>Trendy Casual Lace-Up Sneakers For Men Fashion Sneakers For Men - Joggers for men</t>
  </si>
  <si>
    <t>https://www.daraz.pk/products/-i933229034.html</t>
  </si>
  <si>
    <t>https://img.drz.lazcdn.com/static/pk/p/8c9aa281ed39d49ff446865d8922dd8c.jpg_400x400q75.avif</t>
  </si>
  <si>
    <t>https://www.daraz.pk/products/new-full-trending-sneakers-for-mens-shoes-for-mens-sneakers-for-boys-shoes-men-shoes-sports-shoes-for-men-boys-shoes-i920088357.html</t>
  </si>
  <si>
    <t>https://img.drz.lazcdn.com/static/pk/p/09d3a628ab333aefb2cdaac9b8631e03.jpg_400x400q75.avif</t>
  </si>
  <si>
    <t>Sneako Stylish Grey Sneakers for Men - High Quality Sneakers for Parties</t>
  </si>
  <si>
    <t>https://www.daraz.pk/products/sneako-stylish-grey-sneakers-for-men-high-quality-sneakers-for-parties-i592547897.html</t>
  </si>
  <si>
    <t>https://img.drz.lazcdn.com/g/kf/S5234cf77c7ff49c4be1f68f8ef9ffce2T.jpg_400x400q75.avif</t>
  </si>
  <si>
    <t>New Arrival Sneakers For Men - Shoes For Men - Sneakers For Boys - Shoes - Men Shoes - Sports Shoes For Men - Boys Shoes</t>
  </si>
  <si>
    <t>https://www.daraz.pk/products/-i630887637.html</t>
  </si>
  <si>
    <t>https://img.drz.lazcdn.com/g/kf/S0913be6b6aaf4ebb927ddaa92e5d37baE.jpg_400x400q75.avif</t>
  </si>
  <si>
    <t>https://www.daraz.pk/products/trendy-casual-lace-up-sports-shoes-for-men-fashion-sneakers-for-men-mens-footwear-shoes-for-gym-tennis-men-athletics-road-running-lightweight-shoes-i668737069.html</t>
  </si>
  <si>
    <t>https://img.drz.lazcdn.com/static/pk/p/4efc34e5efd4ae393cfdb1e1f1318876.jpg_400x400q75.avif</t>
  </si>
  <si>
    <t>Breathable Mesh Athletic Sneakers for Men | Durable Rubber Sole | Comfortable Running Shoes | Casual Outdoor Sports Footwear</t>
  </si>
  <si>
    <t>https://www.daraz.pk/products/breathable-mesh-athletic-sneakers-for-men-durable-rubber-sole-comfortable-running-shoes-casual-outdoor-sports-footwear-i382892429.html</t>
  </si>
  <si>
    <t>https://img.drz.lazcdn.com/static/pk/p/d046ad45874d7c8e4b92d7d4f9ce48a0.jpg_400x400q75.avif</t>
  </si>
  <si>
    <t>Sneako Blue jeans sneakers for mens</t>
  </si>
  <si>
    <t>https://www.daraz.pk/products/-i564244193.html</t>
  </si>
  <si>
    <t>https://img.drz.lazcdn.com/static/pk/p/c36c49df8a7083918d815b15038e71b6.jpg_400x400q75.avif</t>
  </si>
  <si>
    <t>Men's Trending Air Style Black &amp; White Sport Shoes For Mens - Soft,&amp; Comfortable Sneaker Shoes For Men Men - High Quality Sneakers</t>
  </si>
  <si>
    <t>https://www.daraz.pk/products/mens-trending-air-style-black-white-sport-shoes-for-mens-soft-comfortable-sneaker-shoes-for-men-men-high-quality-sneakers-i669792904.html</t>
  </si>
  <si>
    <t>https://img.drz.lazcdn.com/static/pk/p/96d318c5094fb7580b2c9fe9ed2b1955.jpg_400x400q75.avif</t>
  </si>
  <si>
    <t>Men's Fashionable, Premium Black sneakers Ideal for Events and Parties</t>
  </si>
  <si>
    <t>https://www.daraz.pk/products/-i896610057.html</t>
  </si>
  <si>
    <t>https://img.drz.lazcdn.com/g/kf/Sd1225db371b649b489ce126b65af36536.jpg_400x400q75.avif</t>
  </si>
  <si>
    <t>Sneakers for men || shoes for men || New stylish sneakers for men || Airjordans Premium Mens Sneakers</t>
  </si>
  <si>
    <t>https://www.daraz.pk/products/-i924580632.html</t>
  </si>
  <si>
    <t>https://img.drz.lazcdn.com/static/pk/p/3b501b8bb46e5a9e3ab0a9bfd8245abf.jpg_400x400q75.avif</t>
  </si>
  <si>
    <t>https://www.daraz.pk/products/new-full-trending-sneakers-for-mens-shoes-for-mens-sneakers-for-boys-shoes-men-shoes-sports-shoes-for-men-boys-shoes-i912241193.html</t>
  </si>
  <si>
    <t>https://img.drz.lazcdn.com/static/pk/p/95b213e98d0fd2530bf475ebb067d404.jpg_400x400q75.avif</t>
  </si>
  <si>
    <t>https://www.daraz.pk/products/new-mens-fashionabel-sneakers-running-shoes-gym-joggers-lightwight-and-comfortable-shoes-for-boys-tannies-sneakers-i668696276.html</t>
  </si>
  <si>
    <t>https://img.drz.lazcdn.com/static/pk/p/eecfd84570cd416e8cd2a9503b355fa9.jpg_400x400q75.avif</t>
  </si>
  <si>
    <t>Fashion Sneakers Shoes.</t>
  </si>
  <si>
    <t>https://www.daraz.pk/products/-i489032661.html</t>
  </si>
  <si>
    <t>https://img.drz.lazcdn.com/g/kf/Sc79efb3aff1849fdb0e7f2c63c212a40s.jpg_400x400q75.avif</t>
  </si>
  <si>
    <t>Brown &amp; Black Casual Sneakers | Lightweight Comfort Shoes for Men</t>
  </si>
  <si>
    <t>https://www.daraz.pk/products/-i910866142.html</t>
  </si>
  <si>
    <t>https://img.drz.lazcdn.com/static/pk/p/d52bd6216922b4eed1acda34bd49909d.jpg_400x400q75.avif</t>
  </si>
  <si>
    <t>Unisex Sneakers /imported Shoes for Mens and Womens</t>
  </si>
  <si>
    <t>https://www.daraz.pk/products/-i422280571.html</t>
  </si>
  <si>
    <t>https://img.drz.lazcdn.com/g/kf/S6ef8522149754708ba96a278177a3adfJ.jpg_400x400q75.avif</t>
  </si>
  <si>
    <t>Men's Premium Mesh Sneakers Breathable PU Rubber Sole Casual Sports Walking Shoes New Fashionable Running Sneakers</t>
  </si>
  <si>
    <t>https://www.daraz.pk/products/mens-premium-mesh-sneakers-breathable-pu-rubber-sole-casual-sports-walking-shoes-new-fashionable-running-sneakers-i384644156.html</t>
  </si>
  <si>
    <t>https://img.drz.lazcdn.com/static/pk/p/0f895951734d488bcce50fb49826faeb.png_400x400q75.avif</t>
  </si>
  <si>
    <t>https://www.daraz.pk/products/dunkfusion-sneakers-shoes-for-mens-lieght-weight-breathable-shoes-for-mens-sneakers-shoes-for-boys-dunk-shoes-mens-shoes-i923374884.html</t>
  </si>
  <si>
    <t>Men’s Trendy 3D Letter Lace-Up Sneakers | Fashion Streetwear Casual Sports Shoes | Lightweight PU Leather Skate-Style Trainers</t>
  </si>
  <si>
    <t>https://www.daraz.pk/products/mens-trendy-3d-letter-lace-up-sneakers-fashion-streetwear-casual-sports-shoes-lightweight-pu-leather-skate-style-trainers-i933652085.html</t>
  </si>
  <si>
    <t>https://img.drz.lazcdn.com/static/pk/p/9991c9455ede75de2559a289d3e3267f.jpg_400x400q75.avif</t>
  </si>
  <si>
    <t>Black Camel Mens Excercise Running Sneakers / Casual shoes Fashion Breathable /Fast shoes Training sneakers for Men / Tennis Trending sneakers for walking gym</t>
  </si>
  <si>
    <t>https://www.daraz.pk/products/-i479428012.html</t>
  </si>
  <si>
    <t>https://img.drz.lazcdn.com/static/pk/p/c214df60779e0f51b0c2b318f1b89a4d.jpg_400x400q75.avif
https://img.lazcdn.com/us/lzd-onepiece/15a099fc32e820d975854161069e09941769421407651.png</t>
  </si>
  <si>
    <t>Men's Running Shoes Men's Slip-on Shoes Tennis Walking Casual Shoes Black Gym Breathable Rubber Work Shoes Fashion shoes s</t>
  </si>
  <si>
    <t>https://www.daraz.pk/products/-i928766682.html</t>
  </si>
  <si>
    <t>https://img.drz.lazcdn.com/static/pk/p/f4cde1aefb06333790887933cec13958.jpg_400x400q75.avif</t>
  </si>
  <si>
    <t>New Korean Style Jogger Sneakers For Mens</t>
  </si>
  <si>
    <t>https://www.daraz.pk/products/-i638664674.html</t>
  </si>
  <si>
    <t>https://img.drz.lazcdn.com/g/kf/Scc155047a2ca4bb4a701a8fe1262e190O.jpg_400x400q75.avif</t>
  </si>
  <si>
    <t>https://www.daraz.pk/products/trendy-casual-lace-up-sports-shoes-for-men-fashion-sneakers-for-men-mens-footwear-shoes-for-gym-tennis-men-athletics-road-running-lightweight-shoes-i933424136.html</t>
  </si>
  <si>
    <t>https://img.drz.lazcdn.com/static/pk/p/c0d2c3976ea7ec6eb1285516b8b1fae3.jpg_400x400q75.avif</t>
  </si>
  <si>
    <t>Comfortable &amp; Fashionable Sneaker Shoes for Women's and Girl's Sneakers For Women</t>
  </si>
  <si>
    <t>https://www.daraz.pk/products/-i261689900.html</t>
  </si>
  <si>
    <t>Urban Sole Men's Casual Shoes AD-8107 Casual Shoes For Men</t>
  </si>
  <si>
    <t>https://www.daraz.pk/products/ad-8107-i898183681.html</t>
  </si>
  <si>
    <t>https://img.drz.lazcdn.com/static/pk/p/e076ad76ba2898d722c856f15ebc5ed7.jpg_400x400q75.avif</t>
  </si>
  <si>
    <t>Skechers Shoes For Women With Max Cushioned Sole And Hyper Burst Technology | Non Slip Comfortable Durable And Lightweight Sneakers For Girls - Breathable And Washable Women’s Shoes - Joggers For Girls | Shoes For Girls [A+ Replica]</t>
  </si>
  <si>
    <t>https://www.daraz.pk/products/a-i927807957.html</t>
  </si>
  <si>
    <t>https://img.drz.lazcdn.com/static/pk/p/1e52a258ae72b37a96abda2bb52629d0.jpg_400x400q75.avif</t>
  </si>
  <si>
    <t>Men's Airforce Style Sneakers (Size 41-45) | Casual Shoes in Tan, Olive Green</t>
  </si>
  <si>
    <t>https://www.daraz.pk/products/41-45-i751749289.html</t>
  </si>
  <si>
    <t>https://img.drz.lazcdn.com/g/kf/S0cbe4b0315bb407a8ffb5f59427bec90L.jpg_400x400q75.avif</t>
  </si>
  <si>
    <t>Female Mesh Breathable Women Shoes Light wight Slip-on Sports Shoes Soft , Comfortable adjustable Ladies / Girls Sports , Casual &amp; walking Sneakers Beat Price Offer</t>
  </si>
  <si>
    <t>https://www.daraz.pk/products/-i478930054.html</t>
  </si>
  <si>
    <t>https://img.drz.lazcdn.com/g/kf/S18425f948769424886759b0c6746d7e7s.jpg_400x400q75.avif</t>
  </si>
  <si>
    <t>shoes jogger sneaker for man</t>
  </si>
  <si>
    <t>https://www.daraz.pk/products/-i541824863.html</t>
  </si>
  <si>
    <t>https://img.drz.lazcdn.com/static/pk/p/abfcb369aea1cbfc1a6854ebb13e9690.jpg_400x400q75.avif</t>
  </si>
  <si>
    <t>Sneakers For Men Samba</t>
  </si>
  <si>
    <t>https://www.daraz.pk/products/sneakers-for-mens-samba-i926774565.html</t>
  </si>
  <si>
    <t>https://img.drz.lazcdn.com/g/kf/S0a354a25a9574d47a9e55f5e9c26e625T.jpg_400x400q75.avif</t>
  </si>
  <si>
    <t>Casual sneakers shoes for men - Comfortable Flat canvas sneakers for boys and men - White Casual Bumble Ace Sneakers for men - flats Soft Low Top Light Leisure Walk Board Shoes Waterproof Outdoor Walking white Sneakers For boys and men</t>
  </si>
  <si>
    <t>https://www.daraz.pk/products/casual-sneakers-shoes-for-men-comfortable-flat-canvas-sneakers-for-boys-and-men-white-casual-bumble-ace-sneakers-for-men-flats-soft-low-top-light-leisure-walk-board-shoes-waterproof-outdoor-walking-white-sneakers-for-boys-and-men-i382923957.html</t>
  </si>
  <si>
    <t>https://img.drz.lazcdn.com/static/pk/p/110f179527552fc293e466d448dfbfb7.jpg_400x400q75.avif</t>
  </si>
  <si>
    <t>Women's Sneakers Fashion Chunky Sole Sports Joggers High Heel Casual vulcanize Shoes for Girls</t>
  </si>
  <si>
    <t>https://www.daraz.pk/products/-i435840044.html</t>
  </si>
  <si>
    <t>https://img.drz.lazcdn.com/static/pk/p/0ff26684921628190a25d2d79375db9e.jpg_400x400q75.avif</t>
  </si>
  <si>
    <t>Trendy Women's and Girls' Sneakers, Comfortable and Durable, Various Sizes Available</t>
  </si>
  <si>
    <t>https://www.daraz.pk/products/trendy-womens-and-girls-sneakers-comfortable-and-durable-various-sizes-available-i553957112.html</t>
  </si>
  <si>
    <t>https://img.drz.lazcdn.com/g/kf/Sdfd4b4db5aac41d89a4b043326794b27U.jpg_400x400q75.avif</t>
  </si>
  <si>
    <t>Ace By SERVIS Men Sneakers For Men - Shoes For Men</t>
  </si>
  <si>
    <t>https://www.daraz.pk/products/ace-i935255175.html</t>
  </si>
  <si>
    <t>https://img.drz.lazcdn.com/collect/sg/p/e615d0ff93427aec59b281630310ddc0.jpg_400x400q75.avif</t>
  </si>
  <si>
    <t>https://www.daraz.pk/products/-i459877699.html</t>
  </si>
  <si>
    <t>https://img.drz.lazcdn.com/static/pk/p/e29e41383aacee85efd52dcb538b216a.jpg_400x400q75.avif</t>
  </si>
  <si>
    <t>Sports joggers shoes for Boys &amp; Men party wear sneakers</t>
  </si>
  <si>
    <t>https://www.daraz.pk/products/-i618651105.html</t>
  </si>
  <si>
    <t>https://img.drz.lazcdn.com/g/kf/S5b769ecf043d4f1cb6493be40b3b7717a.jpg_400x400q75.avif</t>
  </si>
  <si>
    <t>Aero Knit Sneaker Light Grey shoe for men</t>
  </si>
  <si>
    <t>https://www.daraz.pk/products/-i930742995.html</t>
  </si>
  <si>
    <t>https://img.drz.lazcdn.com/static/pk/p/584df0ea20f322d26de0c2bfe712f4b0.jpg_400x400q75.avif</t>
  </si>
  <si>
    <t>Walkend || Sneakers for men || shoes for men | New stylish sneakers for men &amp; women|| Airjordans Premium Mens Sneakers</t>
  </si>
  <si>
    <t>https://www.daraz.pk/products/-i920209615.html</t>
  </si>
  <si>
    <t>https://img.drz.lazcdn.com/g/kf/S9d8daac95eb649d999b0d05933b35008Y.jpg_400x400q75.avif</t>
  </si>
  <si>
    <t>Black Camel Sneakers for Men Black Color Shoes for Men</t>
  </si>
  <si>
    <t>https://www.daraz.pk/products/-i356233674.html</t>
  </si>
  <si>
    <t>https://img.drz.lazcdn.com/static/pk/p/0e388d0042575cd8ab937baeca8c1ac9.jpg_400x400q75.avif</t>
  </si>
  <si>
    <t>Gravity Comfort and Style with Lightweight and Genuine All Season Casual Sports Shoes for Men and Women - Perfect for Running, Walking, Cross-Training, and Everyday Sneakers. Men's Breathable Mesh Running Shoes, Sneakers for men, Girls Sneakers, Boys shoe</t>
  </si>
  <si>
    <t>https://www.daraz.pk/products/comfort-and-style-with-lightweight-and-genuine-all-season-casual-sports-shoes-for-men-and-women-perfect-for-running-walking-cross-training-and-everyday-sneakers-mens-breathable-mesh-running-shoes-sneakers-for-men-girls-sneakers-boys-shoes-i559037083.html</t>
  </si>
  <si>
    <t>https://img.drz.lazcdn.com/static/pk/p/71518dbb7eac9d6a96e564af1e6bd274.jpg_400x400q75.avif</t>
  </si>
  <si>
    <t>New Classic Comfortable Low-Top Men's Sneakers in- Casual Street Style</t>
  </si>
  <si>
    <t>https://www.daraz.pk/products/new-classic-comfortable-low-top-mens-sneakers-in-casual-street-style-i927198409.html</t>
  </si>
  <si>
    <t>https://img.drz.lazcdn.com/static/pk/p/2b60f0b282d4e96d87b1d86215ba14c0.jpg_400x400q75.avif</t>
  </si>
  <si>
    <t>Men's Shoes Mesh Breathable comfortable soft sole sneakers</t>
  </si>
  <si>
    <t>https://www.daraz.pk/products/-i438737611.html</t>
  </si>
  <si>
    <t>https://img.drz.lazcdn.com/g/kf/S6c52185202bd4bf28e25a9ef454e6fb49.jpg_400x400q75.avif</t>
  </si>
  <si>
    <t>Retro Jordan 4 Style Sneakers – Classic &amp; Comfortable</t>
  </si>
  <si>
    <t>https://www.daraz.pk/products/4-i562192703.html</t>
  </si>
  <si>
    <t>https://img.drz.lazcdn.com/static/pk/p/97269a0571e2afe6aa407ac4aff577ab.jpg_400x400q75.avif</t>
  </si>
  <si>
    <t>ADIDDAS SAMBA WHITE BLACK GUM (AAA GRADE) | Sneakers For Men</t>
  </si>
  <si>
    <t>https://www.daraz.pk/products/aaa-i915408811.html</t>
  </si>
  <si>
    <t>https://img.drz.lazcdn.com/g/kf/Se5db4ee7fad44b8ca8f59abc64a39bab7.jpg_400x400q75.avif</t>
  </si>
  <si>
    <t>Trendy Casual Lace-Up Black Sneakers For Men Fashion Sneakers For Men - Black Joggers for men</t>
  </si>
  <si>
    <t>https://www.daraz.pk/products/-i934967489.html</t>
  </si>
  <si>
    <t>Sneakers For Men - Shoes For Men - Sneakers For Boys - Shoes - Men Shoes - Sports Shoes For Men -Men’s Sneakers -Comfortable Walking Shoes for Men and Women-Spring/Summer/Fall/Winter Seasons - Perfect for Daily Casual wear</t>
  </si>
  <si>
    <t>https://www.daraz.pk/products/-i935309192.html</t>
  </si>
  <si>
    <t>https://img.drz.lazcdn.com/static/pk/p/c512529a364b169b4617793b1ac82f0c.jpg_400x400q75.avif</t>
  </si>
  <si>
    <t>Joggers Shoes for men || Sports Shoes for men || Shoes for men || Qualified Shoes for men</t>
  </si>
  <si>
    <t>https://www.daraz.pk/products/-i641041760.html</t>
  </si>
  <si>
    <t>https://img.drz.lazcdn.com/static/pk/p/ba84e4ee93dc46d7e6636aab528d2873.jpg_400x400q75.avif</t>
  </si>
  <si>
    <t>Men's light weight shoes sneakers for men shoes for men running shoes for men sneakers for men soft shoes for men</t>
  </si>
  <si>
    <t>https://www.daraz.pk/products/-i493090614.html</t>
  </si>
  <si>
    <t>https://img.drz.lazcdn.com/g/kf/S209c6fff91db450e813239b8ca1efeebt.jpg_400x400q75.avif</t>
  </si>
  <si>
    <t>White sneakers, casual stylish sneakers, running shoes, joggers, fashion sneakers</t>
  </si>
  <si>
    <t>https://www.daraz.pk/products/-i386735697.html</t>
  </si>
  <si>
    <t>https://img.drz.lazcdn.com/static/pk/p/7c63bb7faca02ffc22ca6cb33a51e237.jpg_400x400q75.avif</t>
  </si>
  <si>
    <t>https://www.daraz.pk/products/-i830588091.html</t>
  </si>
  <si>
    <t>https://img.drz.lazcdn.com/g/kf/S9474b363f1274182806ae98f426812ebV.jpg_400x400q75.avif</t>
  </si>
  <si>
    <t>New Stylish Trendy Full White Sneaker Shoes For Mens Shoes For Mens Shoes For Boys Sneaker Shoes Mens Shoes</t>
  </si>
  <si>
    <t>https://www.daraz.pk/products/new-stylish-trendy-full-white-sneaker-shoes-for-mens-shoes-for-mens-shoes-for-boys-sneaker-shoes-mens-shoes-i924592291.html</t>
  </si>
  <si>
    <t>https://www.daraz.pk/products/new-stylish-trendy-full-white-sneaker-shoes-for-mens-shoes-for-mens-shoes-for-boys-sneaker-shoes-mens-shoes-i927202203.html</t>
  </si>
  <si>
    <t>https://img.drz.lazcdn.com/static/pk/p/4430c8e214e9bacb7070be1cebebc159.jpg_400x400q75.avif</t>
  </si>
  <si>
    <t>Warrior Cloud Shoes Double Sole Foam Running Clogs &amp; EVA Sneakers Shoes for Mens</t>
  </si>
  <si>
    <t>https://www.daraz.pk/products/warrior-cloud-shoes-double-sole-foam-running-clogs-eva-sneakers-shoes-for-mens-i587622793.html</t>
  </si>
  <si>
    <t>https://img.drz.lazcdn.com/g/kf/S03b135fae3204ddaa85e1c79b10ba0fdh.jpg_400x400q75.avif</t>
  </si>
  <si>
    <t>FLK BOSS Men walking Gym Fashion outdoors Running light weight sneakers for Men shoes for men</t>
  </si>
  <si>
    <t>https://www.daraz.pk/products/-i640580592.html</t>
  </si>
  <si>
    <t>https://img.drz.lazcdn.com/static/pk/p/43b6dc5e5191776d5b3aadf632bf2bc0.jpg_400x400q75.avif</t>
  </si>
  <si>
    <t>Jet Black Sneakers for Men.</t>
  </si>
  <si>
    <t>https://www.daraz.pk/products/jet-black-sneakers-for-men-i365602519.html</t>
  </si>
  <si>
    <t>https://img.drz.lazcdn.com/static/pk/p/69e454a63940a250411bc93100db9b02.jpg_400x400q75.avif</t>
  </si>
  <si>
    <t>New Stylish Trendy Sneaker For Mens Women Shoes For Mens Shoes For Boys Shoes For Girls And Womens</t>
  </si>
  <si>
    <t>https://www.daraz.pk/products/new-stylish-trendy-sneaker-for-mens-women-shoes-for-mens-shoes-for-boys-shoes-for-girls-and-womens-i665765644.html</t>
  </si>
  <si>
    <t>Mens black sneakers</t>
  </si>
  <si>
    <t>https://www.daraz.pk/products/-i615203016.html</t>
  </si>
  <si>
    <t>https://img.drz.lazcdn.com/g/kf/S083b57c015ca4641b0d0f5096ebfb5a8F.jpg_400x400q75.avif</t>
  </si>
  <si>
    <t>New Jeans Classic Shoes For Mens Lace-up Solid Sneakers Male Casual Genuine Flats Soft Low Top Light Leisure Walk Board Shoes For Mens</t>
  </si>
  <si>
    <t>https://www.daraz.pk/products/new-jeans-classic-shoes-for-mens-lace-up-solid-sneakers-male-casual-genuine-flats-soft-low-top-light-leisure-walk-board-shoes-for-mens-i658741400.html</t>
  </si>
  <si>
    <t>https://img.drz.lazcdn.com/static/pk/p/9f92d3d3ad09b57817025b1481ad697c.jpg_400x400q75.avif</t>
  </si>
  <si>
    <t>RetroStrike – AJ 1 Highs Sneakers -- Color variety -- Imported shoes -- Shoes For Men -- Sport Sneakers -- Shoeiqiue</t>
  </si>
  <si>
    <t>https://www.daraz.pk/products/aj-1-i669852580.html</t>
  </si>
  <si>
    <t>https://img.drz.lazcdn.com/static/pk/p/c380ac1e4ca305fcb745810796516a61.jpg_400x400q75.avif</t>
  </si>
  <si>
    <t>New sneakers shoes for boys</t>
  </si>
  <si>
    <t>https://www.daraz.pk/products/-i387224469.html</t>
  </si>
  <si>
    <t>https://img.drz.lazcdn.com/static/pk/p/20a029c3b297428edd8e0bda64763c12.jpg_400x400q75.avif</t>
  </si>
  <si>
    <t>White Sneaker Shoes For Mens Lieght Weight Comfartable Sneaker For Mens Trending Classic Sneaker Shoes For Mens Sneaker For Boys Sneaker For Mens</t>
  </si>
  <si>
    <t>https://www.daraz.pk/products/white-sneaker-shoes-for-mens-lieght-weight-comfartable-sneaker-for-mens-trending-classic-sneaker-shoes-for-mens-sneaker-for-boys-sneaker-for-mens-i924582479.html</t>
  </si>
  <si>
    <t>Latest Trendy Casual Shoes For Mens Shoes For Boys Fashionable Sneaker Shoes For Mens Exercise JYM joger Shoes For Boys Breathable Shoes For Mens</t>
  </si>
  <si>
    <t>https://www.daraz.pk/products/latest-trendy-casual-shoes-for-mens-shoes-for-boys-fashionable-sneaker-shoes-for-mens-exercise-jym-joger-shoes-for-boys-breathable-shoes-for-mens-i933399795.html</t>
  </si>
  <si>
    <t>https://img.drz.lazcdn.com/static/pk/p/8caa65d41ec08be267aff45b6c07a3e9.jpg_400x400q75.avif</t>
  </si>
  <si>
    <t>Men's Blade Sneakers Slip-on Sneakers With Shoelaces - Odor-resistant Athletic Shoes - Lightweight And Breathable</t>
  </si>
  <si>
    <t>https://www.daraz.pk/products/-i619718992.html</t>
  </si>
  <si>
    <t>https://img.drz.lazcdn.com/static/pk/p/7c691aa544410a84a7a75a174d926810.jpg_400x400q75.avif</t>
  </si>
  <si>
    <t>Samba -- Classic Elegant sneakers -- 4 Color variety -- Imported Unisex shoes -- Shoes For Men &amp; Women -- Shoetique</t>
  </si>
  <si>
    <t>https://www.daraz.pk/products/3-i572231620.html</t>
  </si>
  <si>
    <t>https://img.drz.lazcdn.com/static/pk/p/c813bf65b07dcb740a0fed595f29ae11.jpg_400x400q75.avif</t>
  </si>
  <si>
    <t>Painted Sneakers For Men - Shoes For Men - Sneakers For Boys - Shoes - Men Shoes - Water Proof Paints - Sports Shoes For Men - Boys - Women Shoes All-Season Casual Hand painted Sneakers - Comfortable Walking Shoes for Men + FREE COLORED LACE</t>
  </si>
  <si>
    <t>https://www.daraz.pk/products/-i936917210.html</t>
  </si>
  <si>
    <t>https://img.drz.lazcdn.com/static/pk/p/f9ffc9df894794d801edf0b6848a02e8.jpg_400x400q75.avif</t>
  </si>
  <si>
    <t>Canvas Shoes For Girls - Breathable Comfortable Lightweight Pumpy Shoes For Girls - Flat Sandals For Girls - Slippers For Women - Chappal For Women - Pumps For Women - Perfect Gifts For Girls</t>
  </si>
  <si>
    <t>https://www.daraz.pk/products/canvas-shoes-for-girls-breathable-comfortable-lightweight-pumpy-shoes-for-girls-flat-sandals-for-girls-slippers-for-women-chappal-for-women-pumps-for-women-perfect-gifts-for-girls-i640448251.html</t>
  </si>
  <si>
    <t>https://img.drz.lazcdn.com/static/pk/p/4ee77194f820404d71563a64694c5ec8.jpg_400x400q75.avif</t>
  </si>
  <si>
    <t>Hombre Yeezy 750</t>
  </si>
  <si>
    <t>https://www.daraz.pk/products/750-i734182933.html</t>
  </si>
  <si>
    <t>https://img.drz.lazcdn.com/static/pk/p/d8ee85fbe60b1ea6bac778ecc68220d9.jpg_400x400q75.avif</t>
  </si>
  <si>
    <t>Exercise Running Casual Sneakers for men | Training and walking sneakers for Mens | with mid top Sneakers For Men | Shoes For Men | Sneakers For Boys | Men Shoes | Sports Shoes For Men | Men's Sneakers | Comfortable Walking Shoes for Men | Four Season Use</t>
  </si>
  <si>
    <t>https://www.daraz.pk/products/exercise-running-casual-sneakers-for-men-training-and-walking-sneakers-for-mens-with-mid-top-sneakers-for-men-shoes-for-men-sneakers-for-boys-men-shoes-sports-shoes-for-men-mens-sneakers-comfortable-walking-shoes-for-men-four-season-use-i536113761.html</t>
  </si>
  <si>
    <t>https://img.drz.lazcdn.com/static/pk/p/2c647fa1135c6930728b495be34a9bfc.png_400x400q75.avif</t>
  </si>
  <si>
    <t>Canvas Shoes For Boys &amp; Men - Fabric Upper , Men Sneakers - Casual &amp; Comfortable - Men Walking Canvas Shoes - Best Quality Washable (Machine Made) shoes for Men - Best Choice for Winters by ARC World .</t>
  </si>
  <si>
    <t>https://www.daraz.pk/products/-i935292865.html</t>
  </si>
  <si>
    <t>https://img.drz.lazcdn.com/static/pk/p/f0d6a4e0b8d40a70e53d86985fb8da6d.jpg_400x400q75.avif</t>
  </si>
  <si>
    <t>Women's/Ladies/Female/Girls Trendy Lightweight Comfortable, Casualwear White Lace-Up Sneakers Shoes</t>
  </si>
  <si>
    <t>https://www.daraz.pk/products/-i261710046.html</t>
  </si>
  <si>
    <t>https://img.drz.lazcdn.com/static/pk/p/b487788ab6fc77b0170dec8b25e5e224.jpg_400x400q75.avif</t>
  </si>
  <si>
    <t>Men's Canvas Slip-On Loafers - Lightweight Casual Shoes for Men &amp; Boys - Stylish Breathable Flat Walking Sneakers - Gym &amp; Running Shoes 2026</t>
  </si>
  <si>
    <t>https://www.daraz.pk/products/2026-i587080118.html</t>
  </si>
  <si>
    <t>https://img.drz.lazcdn.com/g/kf/Sa15452eb9ec841c58b6a9e297491b0ffX.jpg_400x400q75.avif</t>
  </si>
  <si>
    <t>https://www.daraz.pk/products/2026-i586995881.html</t>
  </si>
  <si>
    <t>https://img.drz.lazcdn.com/g/kf/S8c5ca33215094ae0b790a991a714a544Z.jpg_400x400q75.avif</t>
  </si>
  <si>
    <t>Importia Premium Fly Knit Sneakers For Men In Grey Colour</t>
  </si>
  <si>
    <t>https://www.daraz.pk/products/importia-premium-fly-knit-sneakers-for-men-in-grey-colour-i385405258.html</t>
  </si>
  <si>
    <t>https://img.drz.lazcdn.com/static/pk/p/c2cef473fbaee1304c1ddc9a7c9dce82.jpg_400x400q75.avif</t>
  </si>
  <si>
    <t>shoes jogers sneakers</t>
  </si>
  <si>
    <t>https://www.daraz.pk/products/-i493645605.html</t>
  </si>
  <si>
    <t>https://img.drz.lazcdn.com/g/kf/S2c21d6d9372a4d728abf14fda709730cH.jpg_400x400q75.avif</t>
  </si>
  <si>
    <t>Skechers Ultra Go Comfy Shoes</t>
  </si>
  <si>
    <t>https://www.daraz.pk/products/skechers-ultra-go-comfy-shoes-i479831357.html</t>
  </si>
  <si>
    <t>https://img.drz.lazcdn.com/g/kf/Sd94ae00303da417c9e9876ae0723a9266.jpg_400x400q75.avif</t>
  </si>
  <si>
    <t>all star converse Sneakers</t>
  </si>
  <si>
    <t>https://www.daraz.pk/products/-i615887531.html</t>
  </si>
  <si>
    <t>https://img.drz.lazcdn.com/g/kf/S08d42fa54c9144b28ae68664d2c78f2ct.jpg_400x400q75.avif</t>
  </si>
  <si>
    <t>Sports Shoes for men || Shoes for men || Stylosh shoes for men || highly qualified shoes for men/ school shoes</t>
  </si>
  <si>
    <t>https://www.daraz.pk/products/-i929999677.html</t>
  </si>
  <si>
    <t>https://img.drz.lazcdn.com/static/pk/p/2b00b9fb1b66822a0fcfacb6de07bce2.jpg_400x400q75.avif</t>
  </si>
  <si>
    <t>FLK SPOT Black Mens Excercise Running Sneakers Casual shoes Fashion Breathable Fast shoes Training sneakers for Men Tennis Trending sneakers for walking gym</t>
  </si>
  <si>
    <t>https://www.daraz.pk/products/flk-spot-black-mens-excercise-running-sneakers-casual-shoes-fashion-breathable-fast-shoes-training-sneakers-for-men-tennis-trending-sneakers-for-walking-gym-i444476448.html</t>
  </si>
  <si>
    <t>https://img.drz.lazcdn.com/static/pk/p/b77cdaddf6b1757db0a43caaa8a82a5b.jpg_400x400q75.avif</t>
  </si>
  <si>
    <t>Black Camel Shoes for Mens | Walking Casual Sketchers Sneakers | Super Comfort 614</t>
  </si>
  <si>
    <t>https://www.daraz.pk/products/614-i666425812.html</t>
  </si>
  <si>
    <t>https://img.drz.lazcdn.com/static/pk/p/1e8828d7674d435c07c32e87fb04a41e.png_400x400q75.avif</t>
  </si>
  <si>
    <t>AF1 Sneakers | Best Quality Guranteed | Unisex | Stylish , Comfortable and Sleek</t>
  </si>
  <si>
    <t>https://www.daraz.pk/products/af1-i938980366.html</t>
  </si>
  <si>
    <t>https://img.drz.lazcdn.com/static/pk/p/086fd8d0e6f1d21644c507183c8cc75e.jpg_400x400q75.avif</t>
  </si>
  <si>
    <t>New Trendy Men Sports Sneakers - Breathable Mesh Comfort Shoes - Lightweight Soft Sole - Odor-Resistant Running Shoes for Men - Versatile Casual Lace-Up Sneakers - Sizes EU:39-44</t>
  </si>
  <si>
    <t>https://www.daraz.pk/products/new-trendy-men-sports-sneakers-breathable-mesh-comfort-shoes-lightweight-soft-sole-odor-resistant-running-shoes-for-men-versatile-casual-lace-up-sneakers-sizes-eu39-44-i426176237.html</t>
  </si>
  <si>
    <t>https://img.drz.lazcdn.com/static/pk/p/8cc40f5fc29bbaf0b31eddce0ccd3283.png_400x400q75.avif</t>
  </si>
  <si>
    <t>New Stylish Sneakers For Boys and Girls</t>
  </si>
  <si>
    <t>https://www.daraz.pk/products/-i429601284.html</t>
  </si>
  <si>
    <t>https://img.drz.lazcdn.com/g/kf/S63990dde9bf949b2b5f727105be46e48Q.jpg_400x400q75.avif</t>
  </si>
  <si>
    <t>Sneako Women's white shoes mens flat shoes girls sneakers Athletic students casual breathable PU shoes</t>
  </si>
  <si>
    <t>https://www.daraz.pk/products/pu-i564194771.html</t>
  </si>
  <si>
    <t>https://img.drz.lazcdn.com/static/pk/p/eddd0a0baccbacbeed46e792541e008f.jpg_400x400q75.avif</t>
  </si>
  <si>
    <t>Men's Exercise Running Sneakers Comfortable Light Weight Casual Shoes Fashion Breathable Fast Shoes Training sneakers for Men Tennis</t>
  </si>
  <si>
    <t>https://www.daraz.pk/products/-i433715525.html</t>
  </si>
  <si>
    <t>https://img.drz.lazcdn.com/static/pk/p/f6f115bafec3bb29406da297ebe6269a.jpg_400x400q75.avif</t>
  </si>
  <si>
    <t>https://www.daraz.pk/products/new-full-trending-sneakers-for-mens-shoes-for-mens-sneakers-for-boys-shoes-men-shoes-sports-shoes-for-men-boys-shoes-i923373923.html</t>
  </si>
  <si>
    <t>https://img.drz.lazcdn.com/static/pk/p/f48018b257827ebaa322ade96679905b.jpg_400x400q75.avif</t>
  </si>
  <si>
    <t>Men Casual Shoes Canvas Classic Loafers Shoes For Mens Fashion Shoes For Boys Slip On Flat Walking Gym Running Shoes for Mens Shoes For Boys</t>
  </si>
  <si>
    <t>https://www.daraz.pk/products/men-casual-shoes-canvas-classic-loafers-shoes-for-mens-fashion-shoes-for-boys-slip-on-flat-walking-gym-running-shoes-for-mens-shoes-for-boys-i653205029.html</t>
  </si>
  <si>
    <t>https://img.drz.lazcdn.com/static/pk/p/25dd5a8c68a88d6e808bf1f7c8abe8f0.jpg_400x400q75.avif</t>
  </si>
  <si>
    <t>https://www.daraz.pk/products/-i924594051.html</t>
  </si>
  <si>
    <t>https://img.drz.lazcdn.com/static/pk/p/0e9ce711dd68509ba2d998a13c5293d0.jpg_400x400q75.avif</t>
  </si>
  <si>
    <t>FLK Latest Trendy casual sneaker,Light weight fashion sheos For Mens With ,white lace running walking shoes For Boys</t>
  </si>
  <si>
    <t>https://www.daraz.pk/products/flk-i651099311.html</t>
  </si>
  <si>
    <t>https://img.drz.lazcdn.com/collect/sg/p/2de5de0b6d8daf96cc681bb25c063f92.jpg_400x400q75.avif</t>
  </si>
  <si>
    <t>"Men's White Sneakers | Stylish Casual &amp; Sports Shoes | Lightweight Comfortable Jogging &amp; Walking Shoes"</t>
  </si>
  <si>
    <t>https://www.daraz.pk/products/-i917323989.html</t>
  </si>
  <si>
    <t>https://img.drz.lazcdn.com/g/kf/S090af1a24fe4436abb2cf06c20526aba8.jpg_400x400q75.avif</t>
  </si>
  <si>
    <t>New Trending&amp;Stylish Soft And Comfortable Air Dunk Style Sneaker Shoes For Mens Outdoor Comfortable Light Weight Sneakers Running Walking</t>
  </si>
  <si>
    <t>https://www.daraz.pk/products/new-trendingstylish-soft-and-comfortable-air-dunk-style-sneaker-shoes-for-mens-outdoor-comfortable-light-weight-sneakers-running-walking-i669841237.html</t>
  </si>
  <si>
    <t>https://img.drz.lazcdn.com/static/pk/p/931eb1a24c4fd00f421fdddafb2db893.jpg_400x400q75.avif</t>
  </si>
  <si>
    <t>https://www.daraz.pk/products/trendy-casual-lace-up-sports-shoes-for-men-fashion-sneakers-for-men-mens-footwear-shoes-for-gym-tennis-men-athletics-road-running-lightweight-shoes-i847326408.html</t>
  </si>
  <si>
    <t>https://img.drz.lazcdn.com/static/pk/p/94b92dafd5e9fb01f9891f38e3f55d25.jpg_400x400q75.avif</t>
  </si>
  <si>
    <t>Black Camel Shoes for Mens | Walking Casual Sketchers Sneakers | Super Comfort 8517</t>
  </si>
  <si>
    <t>https://www.daraz.pk/products/8517-i897702169.html</t>
  </si>
  <si>
    <t>https://img.drz.lazcdn.com/static/pk/p/babde40d7b96ad9a02c109f9bca0e131.png_400x400q75.avif</t>
  </si>
  <si>
    <t>Men's Casual Canvas Loafers | Slip-On Running &amp; Gym Shoes | Fashion Sneakers for Men – by Az Spot</t>
  </si>
  <si>
    <t>https://www.daraz.pk/products/mens-casual-canvas-loafers-slip-on-running-gym-shoes-fashion-sneakers-for-men-by-az-spot-i430553296.html</t>
  </si>
  <si>
    <t>https://img.drz.lazcdn.com/g/kf/S5ef8d35dc3b1402fae34c74bedcb5ebf1.jpg_400x400q75.avif</t>
  </si>
  <si>
    <t>https://www.daraz.pk/products/mens-exercise-sports-outdoor-comfortable-light-weight-sneakers-running-walking-gym-fashion-breathable-shoes-for-boys-i924587288.html</t>
  </si>
  <si>
    <t>https://img.drz.lazcdn.com/static/pk/p/60f7673eb5023b1208e8a79327376a53.jpg_400x400q75.avif</t>
  </si>
  <si>
    <t>Men's Fashion Tennis black Shoes For Men Breathable Casual Shoes Men's shoes 2024 new small black men's shoes the trendy all-match sneakers for students white casual shoes men's shoes</t>
  </si>
  <si>
    <t>https://www.daraz.pk/products/2024-i493098722.html</t>
  </si>
  <si>
    <t>https://img.drz.lazcdn.com/g/kf/S759a4952755a40c6bdcb90335a55feb6B.jpg_400x400q75.avif</t>
  </si>
  <si>
    <t>Sneakers Men's Casual Shoes Breathable Fashion Training Shoes Fast Shoes sneakers mens sneakers sneakers mens mens sneakers ki mens footwear mens Sneakers for men tennis, casual shoes, breathable, fashion loafers, running shoes</t>
  </si>
  <si>
    <t>https://www.daraz.pk/products/sneakers-mens-casual-shoes-breathable-fashion-training-shoes-fast-shoes-sneakers-mens-sneakers-sneakers-mens-mens-sneakers-ki-mens-footwear-mens-sneakers-for-men-tennis-casual-shoes-breathable-fashion-loafers-running-shoes-i668678487.html</t>
  </si>
  <si>
    <t>https://img.drz.lazcdn.com/static/pk/p/4a7a9237182a3a1851d938a7f67016e5.jpg_400x400q75.avif</t>
  </si>
  <si>
    <t>Water Smash - Men's &amp; Womens Sneakers Black Shoes Casual Spring Summer Outdoor Sneakers Sports Summer Athletic Shoes Running Sneakers White Training Tennis Boys Original Sneakers - Shoes for Men</t>
  </si>
  <si>
    <t>https://www.daraz.pk/products/-i421880513.html</t>
  </si>
  <si>
    <t>https://img.drz.lazcdn.com/static/pk/p/83192cac82c14a5d028ac3f51ebe0e51.jpg_400x400q75.avif</t>
  </si>
  <si>
    <t>Sneakers for men || New stylish sneakers for men || Trending sneakers for men</t>
  </si>
  <si>
    <t>https://www.daraz.pk/products/-i536037997.html</t>
  </si>
  <si>
    <t>https://img.drz.lazcdn.com/static/pk/p/21d920fc4f7055878429b5b5017286c5.jpg_400x400q75.avif</t>
  </si>
  <si>
    <t>AZ Spot Men's Fashion Sport Sneakers – Trendy Casual Running Shoes for Daily &amp; Gym Wear</t>
  </si>
  <si>
    <t>https://www.daraz.pk/products/az-spot-mens-fashion-sport-sneakers-trendy-casual-running-shoes-for-daily-gym-wear-i928956550.html</t>
  </si>
  <si>
    <t>https://img.drz.lazcdn.com/static/pk/p/e66548f80cbc2fe5724702c1318a0c38.jpg_400x400q75.avif</t>
  </si>
  <si>
    <t>Beautiful &amp; stylish gents sneakers</t>
  </si>
  <si>
    <t>https://www.daraz.pk/products/-i459524743.html</t>
  </si>
  <si>
    <t>https://img.drz.lazcdn.com/g/kf/S42219e78e83a4bc0a33a520a235a38d1w.jpg_400x400q75.avif</t>
  </si>
  <si>
    <t>shoes for Men and Boys |Best Skechers |Comfortable and Soft for Walking</t>
  </si>
  <si>
    <t>https://www.daraz.pk/products/-i493650628.html</t>
  </si>
  <si>
    <t>https://img.drz.lazcdn.com/g/kf/S2420a0c1f2f94cde866f5ddcbae94b89L.jpg_400x400q75.avif</t>
  </si>
  <si>
    <t>Sports shoes for men Shoes for men highly qualified shoes for men</t>
  </si>
  <si>
    <t>https://www.daraz.pk/products/-i540400136.html</t>
  </si>
  <si>
    <t>https://img.drz.lazcdn.com/static/pk/p/b2ba096f360c40f2e787f48e93fbc5af.jpg_400x400q75.avif</t>
  </si>
  <si>
    <t>https://www.daraz.pk/products/new-jeans-black-sneaker-shoes-for-mens-lieght-weight-comfartable-sneaker-for-mens-trending-classic-sneaker-shoes-for-mens-sneaker-for-boys-sneaker-for-mens-i658747271.html</t>
  </si>
  <si>
    <t>https://img.drz.lazcdn.com/static/pk/p/94e844543f77413cfd49c5af71834e87.jpg_400x400q75.avif</t>
  </si>
  <si>
    <t>Product ID</t>
  </si>
  <si>
    <t>Revenue</t>
  </si>
  <si>
    <t>Quantity</t>
  </si>
  <si>
    <t>Rating</t>
  </si>
  <si>
    <t>Grand Total</t>
  </si>
  <si>
    <t xml:space="preserve"> Grand Total</t>
  </si>
  <si>
    <t>Reviews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</si>
</sst>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Rs-846]\ #,##0"/>
    <numFmt numFmtId="165" formatCode="[$Rs-420]#,##0.00"/>
    <numFmt numFmtId="166" formatCode="[$Rs-420]#,##0"/>
  </numFmts>
  <fonts count="10" x14ac:knownFonts="1">
    <font>
      <sz val="11"/>
      <color indexed="8"/>
      <name val="Calibri"/>
      <family val="2"/>
      <scheme val="minor"/>
    </font>
    <font>
      <b/>
      <sz val="11"/>
      <color theme="1"/>
      <name val="Calibri"/>
      <family val="2"/>
      <scheme val="minor"/>
    </font>
    <font>
      <sz val="12"/>
      <color rgb="FFFF0000"/>
      <name val="Calibri"/>
      <family val="2"/>
      <scheme val="minor"/>
    </font>
    <font>
      <b/>
      <sz val="11"/>
      <color indexed="8"/>
      <name val="Calibri"/>
      <family val="2"/>
      <scheme val="minor"/>
    </font>
    <font>
      <sz val="12"/>
      <color indexed="8"/>
      <name val="Calibri"/>
      <family val="2"/>
      <scheme val="minor"/>
    </font>
    <font>
      <sz val="14"/>
      <color indexed="8"/>
      <name val="Calibri"/>
      <family val="2"/>
      <scheme val="minor"/>
    </font>
    <font>
      <b/>
      <sz val="18"/>
      <color indexed="8"/>
      <name val="Calibri"/>
      <family val="2"/>
      <scheme val="minor"/>
    </font>
    <font>
      <b/>
      <sz val="20"/>
      <color indexed="8"/>
      <name val="Calibri"/>
      <family val="2"/>
      <scheme val="minor"/>
    </font>
    <font>
      <b/>
      <sz val="12"/>
      <color indexed="8"/>
      <name val="Calibri"/>
      <family val="2"/>
      <scheme val="minor"/>
    </font>
    <font>
      <b/>
      <sz val="12"/>
      <color indexed="8"/>
      <name val="Calibri"/>
      <family val="2"/>
    </font>
  </fonts>
  <fills count="9">
    <fill>
      <patternFill patternType="none"/>
    </fill>
    <fill>
      <patternFill patternType="gray125"/>
    </fill>
    <fill>
      <patternFill patternType="solid">
        <fgColor rgb="FFFFFF00"/>
        <bgColor indexed="64"/>
      </patternFill>
    </fill>
    <fill>
      <patternFill patternType="solid">
        <fgColor theme="0"/>
        <bgColor theme="4" tint="0.79998168889431442"/>
      </patternFill>
    </fill>
    <fill>
      <patternFill patternType="solid">
        <fgColor theme="8" tint="0.39997558519241921"/>
        <bgColor indexed="64"/>
      </patternFill>
    </fill>
    <fill>
      <patternFill patternType="solid">
        <fgColor theme="0"/>
        <bgColor indexed="64"/>
      </patternFill>
    </fill>
    <fill>
      <patternFill patternType="solid">
        <fgColor rgb="FF92D050"/>
        <bgColor indexed="64"/>
      </patternFill>
    </fill>
    <fill>
      <patternFill patternType="solid">
        <fgColor rgb="FFFFC000"/>
        <bgColor indexed="64"/>
      </patternFill>
    </fill>
    <fill>
      <patternFill patternType="solid">
        <fgColor theme="8"/>
        <bgColor indexed="64"/>
      </patternFill>
    </fill>
  </fills>
  <borders count="2">
    <border>
      <left/>
      <right/>
      <top/>
      <bottom/>
      <diagonal/>
    </border>
    <border>
      <left/>
      <right/>
      <top style="thin">
        <color theme="4" tint="0.39997558519241921"/>
      </top>
      <bottom/>
      <diagonal/>
    </border>
  </borders>
  <cellStyleXfs count="1">
    <xf numFmtId="0" fontId="0" fillId="0" borderId="0"/>
  </cellStyleXfs>
  <cellXfs count="24">
    <xf numFmtId="0" fontId="0" fillId="0" borderId="0" xfId="0"/>
    <xf numFmtId="0" fontId="0" fillId="0" borderId="0" xfId="0" applyAlignment="1">
      <alignment horizontal="left" wrapText="1"/>
    </xf>
    <xf numFmtId="0" fontId="0" fillId="0" borderId="0" xfId="0" applyAlignment="1">
      <alignment horizontal="left"/>
    </xf>
    <xf numFmtId="0" fontId="2" fillId="2" borderId="0" xfId="0" applyFont="1" applyFill="1"/>
    <xf numFmtId="164" fontId="0" fillId="0" borderId="0" xfId="0" applyNumberFormat="1"/>
    <xf numFmtId="10" fontId="0" fillId="0" borderId="0" xfId="0" applyNumberFormat="1"/>
    <xf numFmtId="1" fontId="0" fillId="0" borderId="0" xfId="0" applyNumberFormat="1" applyAlignment="1">
      <alignment horizontal="left"/>
    </xf>
    <xf numFmtId="1" fontId="0" fillId="0" borderId="0" xfId="0" applyNumberFormat="1"/>
    <xf numFmtId="0" fontId="1" fillId="3" borderId="1" xfId="0" applyFont="1" applyFill="1" applyBorder="1" applyAlignment="1">
      <alignment horizontal="left"/>
    </xf>
    <xf numFmtId="0" fontId="1" fillId="3" borderId="1" xfId="0" applyFont="1" applyFill="1" applyBorder="1"/>
    <xf numFmtId="0" fontId="3" fillId="4" borderId="0" xfId="0" applyFont="1" applyFill="1" applyAlignment="1">
      <alignment horizontal="left"/>
    </xf>
    <xf numFmtId="0" fontId="3" fillId="4" borderId="0" xfId="0" applyFont="1" applyFill="1"/>
    <xf numFmtId="0" fontId="0" fillId="5" borderId="0" xfId="0" applyFill="1" applyAlignment="1">
      <alignment horizontal="left"/>
    </xf>
    <xf numFmtId="0" fontId="4" fillId="6" borderId="0" xfId="0" applyFont="1" applyFill="1"/>
    <xf numFmtId="0" fontId="3" fillId="7" borderId="0" xfId="0" applyFont="1" applyFill="1"/>
    <xf numFmtId="0" fontId="5" fillId="0" borderId="0" xfId="0" applyFont="1" applyAlignment="1">
      <alignment vertical="center"/>
    </xf>
    <xf numFmtId="0" fontId="8" fillId="8" borderId="0" xfId="0" applyFont="1" applyFill="1"/>
    <xf numFmtId="0" fontId="9" fillId="8" borderId="0" xfId="0" applyFont="1" applyFill="1" applyAlignment="1">
      <alignment horizontal="left"/>
    </xf>
    <xf numFmtId="1" fontId="9" fillId="8" borderId="0" xfId="0" applyNumberFormat="1" applyFont="1" applyFill="1" applyAlignment="1">
      <alignment horizontal="left"/>
    </xf>
    <xf numFmtId="0" fontId="0" fillId="0" borderId="0" xfId="0" applyAlignment="1">
      <alignment horizontal="center"/>
    </xf>
    <xf numFmtId="166" fontId="6" fillId="0" borderId="0" xfId="0" applyNumberFormat="1" applyFont="1" applyAlignment="1">
      <alignment horizontal="center" vertical="center"/>
    </xf>
    <xf numFmtId="0" fontId="7" fillId="0" borderId="0" xfId="0" applyFont="1" applyAlignment="1">
      <alignment horizontal="center" vertical="center"/>
    </xf>
    <xf numFmtId="0" fontId="6" fillId="0" borderId="0" xfId="0" applyFont="1" applyAlignment="1">
      <alignment horizontal="center" vertical="center"/>
    </xf>
    <xf numFmtId="165" fontId="6" fillId="0" borderId="0" xfId="0" applyNumberFormat="1" applyFont="1" applyAlignment="1">
      <alignment horizontal="center" vertical="center"/>
    </xf>
  </cellXfs>
  <cellStyles count="1">
    <cellStyle name="Normal" xfId="0" builtinId="0"/>
  </cellStyles>
  <dxfs count="20">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 formatCode="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2"/>
        <color indexed="8"/>
        <name val="Calibri"/>
        <family val="2"/>
        <scheme val="none"/>
      </font>
      <fill>
        <patternFill patternType="solid">
          <fgColor indexed="64"/>
          <bgColor theme="8"/>
        </patternFill>
      </fill>
      <alignment horizontal="left" vertical="bottom" textRotation="0" wrapText="0" indent="0" justifyLastLine="0" shrinkToFit="0" readingOrder="0"/>
    </dxf>
  </dxfs>
  <tableStyles count="1" defaultTableStyle="TableStyleMedium2" defaultPivotStyle="PivotStyleLight16">
    <tableStyle name="Table Style 1" pivot="0" count="0" xr9:uid="{97EBC0DF-424B-41DA-B23D-9DC8926B6D6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7.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8.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9.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0.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'Analysis page'!$N$2:$N$51</c:f>
              <c:numCache>
                <c:formatCode>General</c:formatCode>
                <c:ptCount val="50"/>
                <c:pt idx="0">
                  <c:v>1201</c:v>
                </c:pt>
                <c:pt idx="1">
                  <c:v>1209</c:v>
                </c:pt>
                <c:pt idx="2">
                  <c:v>1211</c:v>
                </c:pt>
                <c:pt idx="3">
                  <c:v>1215</c:v>
                </c:pt>
                <c:pt idx="4">
                  <c:v>1216</c:v>
                </c:pt>
                <c:pt idx="5">
                  <c:v>1223</c:v>
                </c:pt>
                <c:pt idx="6">
                  <c:v>1225</c:v>
                </c:pt>
                <c:pt idx="7">
                  <c:v>1232</c:v>
                </c:pt>
                <c:pt idx="8">
                  <c:v>1233</c:v>
                </c:pt>
                <c:pt idx="9">
                  <c:v>1242</c:v>
                </c:pt>
                <c:pt idx="10">
                  <c:v>1243</c:v>
                </c:pt>
                <c:pt idx="11">
                  <c:v>1245</c:v>
                </c:pt>
                <c:pt idx="12">
                  <c:v>1248</c:v>
                </c:pt>
                <c:pt idx="13">
                  <c:v>1258</c:v>
                </c:pt>
                <c:pt idx="14">
                  <c:v>1259</c:v>
                </c:pt>
                <c:pt idx="15">
                  <c:v>1262</c:v>
                </c:pt>
                <c:pt idx="16">
                  <c:v>1263</c:v>
                </c:pt>
                <c:pt idx="17">
                  <c:v>1269</c:v>
                </c:pt>
                <c:pt idx="18">
                  <c:v>1270</c:v>
                </c:pt>
                <c:pt idx="19">
                  <c:v>1280</c:v>
                </c:pt>
                <c:pt idx="20">
                  <c:v>1282</c:v>
                </c:pt>
                <c:pt idx="21">
                  <c:v>1287</c:v>
                </c:pt>
                <c:pt idx="22">
                  <c:v>1288</c:v>
                </c:pt>
                <c:pt idx="23">
                  <c:v>1312</c:v>
                </c:pt>
                <c:pt idx="24">
                  <c:v>1315</c:v>
                </c:pt>
                <c:pt idx="25">
                  <c:v>1316</c:v>
                </c:pt>
                <c:pt idx="26">
                  <c:v>1319</c:v>
                </c:pt>
                <c:pt idx="27">
                  <c:v>1331</c:v>
                </c:pt>
                <c:pt idx="28">
                  <c:v>1335</c:v>
                </c:pt>
                <c:pt idx="29">
                  <c:v>1351</c:v>
                </c:pt>
                <c:pt idx="30">
                  <c:v>1356</c:v>
                </c:pt>
                <c:pt idx="31">
                  <c:v>1364</c:v>
                </c:pt>
                <c:pt idx="32">
                  <c:v>1366</c:v>
                </c:pt>
                <c:pt idx="33">
                  <c:v>1367</c:v>
                </c:pt>
                <c:pt idx="34">
                  <c:v>1373</c:v>
                </c:pt>
                <c:pt idx="35">
                  <c:v>1376</c:v>
                </c:pt>
                <c:pt idx="36">
                  <c:v>1379</c:v>
                </c:pt>
                <c:pt idx="37">
                  <c:v>1380</c:v>
                </c:pt>
                <c:pt idx="38">
                  <c:v>1381</c:v>
                </c:pt>
                <c:pt idx="39">
                  <c:v>1386</c:v>
                </c:pt>
                <c:pt idx="40">
                  <c:v>1392</c:v>
                </c:pt>
                <c:pt idx="41">
                  <c:v>1400</c:v>
                </c:pt>
                <c:pt idx="42">
                  <c:v>1404</c:v>
                </c:pt>
                <c:pt idx="43">
                  <c:v>1410</c:v>
                </c:pt>
                <c:pt idx="44">
                  <c:v>1411</c:v>
                </c:pt>
                <c:pt idx="45">
                  <c:v>1412</c:v>
                </c:pt>
                <c:pt idx="46">
                  <c:v>1413</c:v>
                </c:pt>
                <c:pt idx="47">
                  <c:v>1415</c:v>
                </c:pt>
                <c:pt idx="48">
                  <c:v>1430</c:v>
                </c:pt>
                <c:pt idx="49">
                  <c:v>1434</c:v>
                </c:pt>
              </c:numCache>
            </c:numRef>
          </c:cat>
          <c:val>
            <c:numRef>
              <c:f>'Analysis page'!$O$2:$O$51</c:f>
              <c:numCache>
                <c:formatCode>General</c:formatCode>
                <c:ptCount val="50"/>
                <c:pt idx="0">
                  <c:v>1618200</c:v>
                </c:pt>
                <c:pt idx="1">
                  <c:v>4072200</c:v>
                </c:pt>
                <c:pt idx="2">
                  <c:v>4843000</c:v>
                </c:pt>
                <c:pt idx="3">
                  <c:v>1558800</c:v>
                </c:pt>
                <c:pt idx="4">
                  <c:v>2078400</c:v>
                </c:pt>
                <c:pt idx="5">
                  <c:v>1538600</c:v>
                </c:pt>
                <c:pt idx="6">
                  <c:v>12917200</c:v>
                </c:pt>
                <c:pt idx="7">
                  <c:v>3648700</c:v>
                </c:pt>
                <c:pt idx="8">
                  <c:v>5070000</c:v>
                </c:pt>
                <c:pt idx="9">
                  <c:v>4290000</c:v>
                </c:pt>
                <c:pt idx="10">
                  <c:v>2111146</c:v>
                </c:pt>
                <c:pt idx="11">
                  <c:v>4248393</c:v>
                </c:pt>
                <c:pt idx="12">
                  <c:v>3526670</c:v>
                </c:pt>
                <c:pt idx="13">
                  <c:v>2317100</c:v>
                </c:pt>
                <c:pt idx="14">
                  <c:v>2546600</c:v>
                </c:pt>
                <c:pt idx="15">
                  <c:v>6373500</c:v>
                </c:pt>
                <c:pt idx="16">
                  <c:v>3338500</c:v>
                </c:pt>
                <c:pt idx="17">
                  <c:v>2276250</c:v>
                </c:pt>
                <c:pt idx="18">
                  <c:v>2002493</c:v>
                </c:pt>
                <c:pt idx="19">
                  <c:v>1972143</c:v>
                </c:pt>
                <c:pt idx="20">
                  <c:v>3459293</c:v>
                </c:pt>
                <c:pt idx="21">
                  <c:v>3944893</c:v>
                </c:pt>
                <c:pt idx="22">
                  <c:v>1577800</c:v>
                </c:pt>
                <c:pt idx="23">
                  <c:v>1960200</c:v>
                </c:pt>
                <c:pt idx="24">
                  <c:v>2549400</c:v>
                </c:pt>
                <c:pt idx="25">
                  <c:v>2100600</c:v>
                </c:pt>
                <c:pt idx="26">
                  <c:v>1517500</c:v>
                </c:pt>
                <c:pt idx="27">
                  <c:v>4551893</c:v>
                </c:pt>
                <c:pt idx="28">
                  <c:v>3459293</c:v>
                </c:pt>
                <c:pt idx="29">
                  <c:v>3944893</c:v>
                </c:pt>
                <c:pt idx="30">
                  <c:v>1997030</c:v>
                </c:pt>
                <c:pt idx="31">
                  <c:v>4856000</c:v>
                </c:pt>
                <c:pt idx="32">
                  <c:v>2852900</c:v>
                </c:pt>
                <c:pt idx="33">
                  <c:v>4552500</c:v>
                </c:pt>
                <c:pt idx="34">
                  <c:v>2124500</c:v>
                </c:pt>
                <c:pt idx="35">
                  <c:v>9172800</c:v>
                </c:pt>
                <c:pt idx="36">
                  <c:v>2428000</c:v>
                </c:pt>
                <c:pt idx="37">
                  <c:v>4855393</c:v>
                </c:pt>
                <c:pt idx="38">
                  <c:v>3945500</c:v>
                </c:pt>
                <c:pt idx="39">
                  <c:v>1558800</c:v>
                </c:pt>
                <c:pt idx="40">
                  <c:v>2428000</c:v>
                </c:pt>
                <c:pt idx="41">
                  <c:v>1821000</c:v>
                </c:pt>
                <c:pt idx="42">
                  <c:v>4066900</c:v>
                </c:pt>
                <c:pt idx="43">
                  <c:v>1577593</c:v>
                </c:pt>
                <c:pt idx="44">
                  <c:v>2730893</c:v>
                </c:pt>
                <c:pt idx="45">
                  <c:v>4551893</c:v>
                </c:pt>
                <c:pt idx="46">
                  <c:v>4856000</c:v>
                </c:pt>
                <c:pt idx="47">
                  <c:v>2612200</c:v>
                </c:pt>
                <c:pt idx="48">
                  <c:v>2628000</c:v>
                </c:pt>
                <c:pt idx="49">
                  <c:v>2167900</c:v>
                </c:pt>
              </c:numCache>
            </c:numRef>
          </c:val>
          <c:extLst>
            <c:ext xmlns:c16="http://schemas.microsoft.com/office/drawing/2014/chart" uri="{C3380CC4-5D6E-409C-BE32-E72D297353CC}">
              <c16:uniqueId val="{00000000-E05F-49B1-9DF6-00A3A2862A84}"/>
            </c:ext>
          </c:extLst>
        </c:ser>
        <c:dLbls>
          <c:dLblPos val="outEnd"/>
          <c:showLegendKey val="0"/>
          <c:showVal val="1"/>
          <c:showCatName val="0"/>
          <c:showSerName val="0"/>
          <c:showPercent val="0"/>
          <c:showBubbleSize val="0"/>
        </c:dLbls>
        <c:gapWidth val="444"/>
        <c:overlap val="-90"/>
        <c:axId val="439821888"/>
        <c:axId val="439822848"/>
      </c:barChart>
      <c:catAx>
        <c:axId val="4398218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39822848"/>
        <c:crosses val="autoZero"/>
        <c:auto val="1"/>
        <c:lblAlgn val="ctr"/>
        <c:lblOffset val="100"/>
        <c:noMultiLvlLbl val="0"/>
      </c:catAx>
      <c:valAx>
        <c:axId val="439822848"/>
        <c:scaling>
          <c:orientation val="minMax"/>
        </c:scaling>
        <c:delete val="1"/>
        <c:axPos val="l"/>
        <c:numFmt formatCode="General" sourceLinked="1"/>
        <c:majorTickMark val="none"/>
        <c:minorTickMark val="none"/>
        <c:tickLblPos val="nextTo"/>
        <c:crossAx val="43982188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'Analysis page'!$Q$2:$Q$50</c:f>
              <c:numCache>
                <c:formatCode>General</c:formatCode>
                <c:ptCount val="49"/>
                <c:pt idx="0">
                  <c:v>1203</c:v>
                </c:pt>
                <c:pt idx="1">
                  <c:v>1204</c:v>
                </c:pt>
                <c:pt idx="2">
                  <c:v>1205</c:v>
                </c:pt>
                <c:pt idx="3">
                  <c:v>1206</c:v>
                </c:pt>
                <c:pt idx="4">
                  <c:v>1213</c:v>
                </c:pt>
                <c:pt idx="5">
                  <c:v>1220</c:v>
                </c:pt>
                <c:pt idx="6">
                  <c:v>1227</c:v>
                </c:pt>
                <c:pt idx="7">
                  <c:v>1234</c:v>
                </c:pt>
                <c:pt idx="8">
                  <c:v>1237</c:v>
                </c:pt>
                <c:pt idx="9">
                  <c:v>1238</c:v>
                </c:pt>
                <c:pt idx="10">
                  <c:v>1239</c:v>
                </c:pt>
                <c:pt idx="11">
                  <c:v>1246</c:v>
                </c:pt>
                <c:pt idx="12">
                  <c:v>1247</c:v>
                </c:pt>
                <c:pt idx="13">
                  <c:v>1249</c:v>
                </c:pt>
                <c:pt idx="14">
                  <c:v>1251</c:v>
                </c:pt>
                <c:pt idx="15">
                  <c:v>1261</c:v>
                </c:pt>
                <c:pt idx="16">
                  <c:v>1264</c:v>
                </c:pt>
                <c:pt idx="17">
                  <c:v>1274</c:v>
                </c:pt>
                <c:pt idx="18">
                  <c:v>1281</c:v>
                </c:pt>
                <c:pt idx="19">
                  <c:v>1285</c:v>
                </c:pt>
                <c:pt idx="20">
                  <c:v>1286</c:v>
                </c:pt>
                <c:pt idx="21">
                  <c:v>1291</c:v>
                </c:pt>
                <c:pt idx="22">
                  <c:v>1297</c:v>
                </c:pt>
                <c:pt idx="23">
                  <c:v>1298</c:v>
                </c:pt>
                <c:pt idx="24">
                  <c:v>1304</c:v>
                </c:pt>
                <c:pt idx="25">
                  <c:v>1308</c:v>
                </c:pt>
                <c:pt idx="26">
                  <c:v>1309</c:v>
                </c:pt>
                <c:pt idx="27">
                  <c:v>1314</c:v>
                </c:pt>
                <c:pt idx="28">
                  <c:v>1326</c:v>
                </c:pt>
                <c:pt idx="29">
                  <c:v>1329</c:v>
                </c:pt>
                <c:pt idx="30">
                  <c:v>1332</c:v>
                </c:pt>
                <c:pt idx="31">
                  <c:v>1334</c:v>
                </c:pt>
                <c:pt idx="32">
                  <c:v>1340</c:v>
                </c:pt>
                <c:pt idx="33">
                  <c:v>1343</c:v>
                </c:pt>
                <c:pt idx="34">
                  <c:v>1355</c:v>
                </c:pt>
                <c:pt idx="35">
                  <c:v>1360</c:v>
                </c:pt>
                <c:pt idx="36">
                  <c:v>1365</c:v>
                </c:pt>
                <c:pt idx="37">
                  <c:v>1370</c:v>
                </c:pt>
                <c:pt idx="38">
                  <c:v>1371</c:v>
                </c:pt>
                <c:pt idx="39">
                  <c:v>1383</c:v>
                </c:pt>
                <c:pt idx="40">
                  <c:v>1395</c:v>
                </c:pt>
                <c:pt idx="41">
                  <c:v>1403</c:v>
                </c:pt>
                <c:pt idx="42">
                  <c:v>1407</c:v>
                </c:pt>
                <c:pt idx="43">
                  <c:v>1421</c:v>
                </c:pt>
                <c:pt idx="44">
                  <c:v>1422</c:v>
                </c:pt>
                <c:pt idx="45">
                  <c:v>1424</c:v>
                </c:pt>
                <c:pt idx="46">
                  <c:v>1426</c:v>
                </c:pt>
                <c:pt idx="47">
                  <c:v>1431</c:v>
                </c:pt>
                <c:pt idx="48">
                  <c:v>1436</c:v>
                </c:pt>
              </c:numCache>
            </c:numRef>
          </c:cat>
          <c:val>
            <c:numRef>
              <c:f>'Analysis page'!$R$2:$R$50</c:f>
              <c:numCache>
                <c:formatCode>General</c:formatCode>
                <c:ptCount val="49"/>
                <c:pt idx="0">
                  <c:v>23702</c:v>
                </c:pt>
                <c:pt idx="1">
                  <c:v>10072</c:v>
                </c:pt>
                <c:pt idx="2">
                  <c:v>19340</c:v>
                </c:pt>
                <c:pt idx="3">
                  <c:v>15587</c:v>
                </c:pt>
                <c:pt idx="4">
                  <c:v>6966</c:v>
                </c:pt>
                <c:pt idx="5">
                  <c:v>31176</c:v>
                </c:pt>
                <c:pt idx="6">
                  <c:v>10392</c:v>
                </c:pt>
                <c:pt idx="7">
                  <c:v>14289</c:v>
                </c:pt>
                <c:pt idx="8">
                  <c:v>32475</c:v>
                </c:pt>
                <c:pt idx="9">
                  <c:v>8183</c:v>
                </c:pt>
                <c:pt idx="10">
                  <c:v>29904</c:v>
                </c:pt>
                <c:pt idx="11">
                  <c:v>16930</c:v>
                </c:pt>
                <c:pt idx="12">
                  <c:v>23984</c:v>
                </c:pt>
                <c:pt idx="13">
                  <c:v>22470</c:v>
                </c:pt>
                <c:pt idx="14">
                  <c:v>12586</c:v>
                </c:pt>
                <c:pt idx="15">
                  <c:v>7490</c:v>
                </c:pt>
                <c:pt idx="16">
                  <c:v>16983</c:v>
                </c:pt>
                <c:pt idx="17">
                  <c:v>13932</c:v>
                </c:pt>
                <c:pt idx="18">
                  <c:v>16269</c:v>
                </c:pt>
                <c:pt idx="19">
                  <c:v>17424</c:v>
                </c:pt>
                <c:pt idx="20">
                  <c:v>8988</c:v>
                </c:pt>
                <c:pt idx="21">
                  <c:v>17412</c:v>
                </c:pt>
                <c:pt idx="22">
                  <c:v>28434</c:v>
                </c:pt>
                <c:pt idx="23">
                  <c:v>23382</c:v>
                </c:pt>
                <c:pt idx="24">
                  <c:v>12586</c:v>
                </c:pt>
                <c:pt idx="25">
                  <c:v>5750</c:v>
                </c:pt>
                <c:pt idx="26">
                  <c:v>27279</c:v>
                </c:pt>
                <c:pt idx="27">
                  <c:v>7794</c:v>
                </c:pt>
                <c:pt idx="28">
                  <c:v>7740</c:v>
                </c:pt>
                <c:pt idx="29">
                  <c:v>23220</c:v>
                </c:pt>
                <c:pt idx="30">
                  <c:v>28574</c:v>
                </c:pt>
                <c:pt idx="31">
                  <c:v>17500</c:v>
                </c:pt>
                <c:pt idx="32">
                  <c:v>6495</c:v>
                </c:pt>
                <c:pt idx="33">
                  <c:v>27475</c:v>
                </c:pt>
                <c:pt idx="34">
                  <c:v>20784</c:v>
                </c:pt>
                <c:pt idx="35">
                  <c:v>17578</c:v>
                </c:pt>
                <c:pt idx="36">
                  <c:v>17024</c:v>
                </c:pt>
                <c:pt idx="37">
                  <c:v>13188</c:v>
                </c:pt>
                <c:pt idx="38">
                  <c:v>11995</c:v>
                </c:pt>
                <c:pt idx="39">
                  <c:v>12141</c:v>
                </c:pt>
                <c:pt idx="40">
                  <c:v>12990</c:v>
                </c:pt>
                <c:pt idx="41">
                  <c:v>24591</c:v>
                </c:pt>
                <c:pt idx="42">
                  <c:v>11687</c:v>
                </c:pt>
                <c:pt idx="43">
                  <c:v>14382</c:v>
                </c:pt>
                <c:pt idx="44">
                  <c:v>9093</c:v>
                </c:pt>
                <c:pt idx="45">
                  <c:v>27864</c:v>
                </c:pt>
                <c:pt idx="46">
                  <c:v>11984</c:v>
                </c:pt>
                <c:pt idx="47">
                  <c:v>18879</c:v>
                </c:pt>
                <c:pt idx="48">
                  <c:v>12866</c:v>
                </c:pt>
              </c:numCache>
            </c:numRef>
          </c:val>
          <c:extLst>
            <c:ext xmlns:c16="http://schemas.microsoft.com/office/drawing/2014/chart" uri="{C3380CC4-5D6E-409C-BE32-E72D297353CC}">
              <c16:uniqueId val="{00000000-F75F-4A3C-AB4B-9D85A46787D3}"/>
            </c:ext>
          </c:extLst>
        </c:ser>
        <c:dLbls>
          <c:dLblPos val="outEnd"/>
          <c:showLegendKey val="0"/>
          <c:showVal val="1"/>
          <c:showCatName val="0"/>
          <c:showSerName val="0"/>
          <c:showPercent val="0"/>
          <c:showBubbleSize val="0"/>
        </c:dLbls>
        <c:gapWidth val="444"/>
        <c:overlap val="-90"/>
        <c:axId val="535155488"/>
        <c:axId val="535156448"/>
      </c:barChart>
      <c:catAx>
        <c:axId val="535155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35156448"/>
        <c:crosses val="autoZero"/>
        <c:auto val="1"/>
        <c:lblAlgn val="ctr"/>
        <c:lblOffset val="100"/>
        <c:noMultiLvlLbl val="0"/>
      </c:catAx>
      <c:valAx>
        <c:axId val="535156448"/>
        <c:scaling>
          <c:orientation val="minMax"/>
        </c:scaling>
        <c:delete val="1"/>
        <c:axPos val="l"/>
        <c:numFmt formatCode="General" sourceLinked="1"/>
        <c:majorTickMark val="none"/>
        <c:minorTickMark val="none"/>
        <c:tickLblPos val="nextTo"/>
        <c:crossAx val="535155488"/>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'Analysis page'!$C$1</c:f>
              <c:strCache>
                <c:ptCount val="1"/>
                <c:pt idx="0">
                  <c:v>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BAAE-45B2-A24A-D46904700CF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BAAE-45B2-A24A-D46904700CF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AAE-45B2-A24A-D46904700CF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BAAE-45B2-A24A-D46904700CF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3-BAAE-45B2-A24A-D46904700CFE}"/>
              </c:ext>
            </c:extLst>
          </c:dPt>
          <c:dLbls>
            <c:dLbl>
              <c:idx val="0"/>
              <c:layout>
                <c:manualLayout>
                  <c:x val="0.13333333333333333"/>
                  <c:y val="-4.6296296296296335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BAAE-45B2-A24A-D46904700CFE}"/>
                </c:ext>
              </c:extLst>
            </c:dLbl>
            <c:dLbl>
              <c:idx val="1"/>
              <c:layout>
                <c:manualLayout>
                  <c:x val="-0.125"/>
                  <c:y val="5.555555555555564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AAE-45B2-A24A-D46904700CFE}"/>
                </c:ext>
              </c:extLst>
            </c:dLbl>
            <c:dLbl>
              <c:idx val="2"/>
              <c:layout>
                <c:manualLayout>
                  <c:x val="-0.15000000000000005"/>
                  <c:y val="-0.15740740740740741"/>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AAE-45B2-A24A-D46904700CFE}"/>
                </c:ext>
              </c:extLst>
            </c:dLbl>
            <c:dLbl>
              <c:idx val="3"/>
              <c:layout>
                <c:manualLayout>
                  <c:x val="3.8888888888888841E-2"/>
                  <c:y val="-0.11574074074074074"/>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BAAE-45B2-A24A-D46904700CFE}"/>
                </c:ext>
              </c:extLst>
            </c:dLbl>
            <c:dLbl>
              <c:idx val="4"/>
              <c:layout>
                <c:manualLayout>
                  <c:x val="0.24166655730533673"/>
                  <c:y val="-9.722240449110528E-2"/>
                </c:manualLayout>
              </c:layout>
              <c:showLegendKey val="0"/>
              <c:showVal val="1"/>
              <c:showCatName val="0"/>
              <c:showSerName val="0"/>
              <c:showPercent val="1"/>
              <c:showBubbleSize val="0"/>
              <c:extLst>
                <c:ext xmlns:c15="http://schemas.microsoft.com/office/drawing/2012/chart" uri="{CE6537A1-D6FC-4f65-9D91-7224C49458BB}">
                  <c15:layout>
                    <c:manualLayout>
                      <c:w val="0.20034711286089235"/>
                      <c:h val="6.4745552639253412E-2"/>
                    </c:manualLayout>
                  </c15:layout>
                </c:ext>
                <c:ext xmlns:c16="http://schemas.microsoft.com/office/drawing/2014/chart" uri="{C3380CC4-5D6E-409C-BE32-E72D297353CC}">
                  <c16:uniqueId val="{00000003-BAAE-45B2-A24A-D46904700CF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page'!$B$2:$B$6</c:f>
              <c:strCache>
                <c:ptCount val="5"/>
                <c:pt idx="0">
                  <c:v>Sindh</c:v>
                </c:pt>
                <c:pt idx="1">
                  <c:v>Punjab</c:v>
                </c:pt>
                <c:pt idx="2">
                  <c:v>Khyber Pakhtunkhwa</c:v>
                </c:pt>
                <c:pt idx="3">
                  <c:v>Islamabad</c:v>
                </c:pt>
                <c:pt idx="4">
                  <c:v>Azad Kashmir</c:v>
                </c:pt>
              </c:strCache>
            </c:strRef>
          </c:cat>
          <c:val>
            <c:numRef>
              <c:f>'Analysis page'!$C$2:$C$6</c:f>
              <c:numCache>
                <c:formatCode>[$Rs-846]\ #,##0</c:formatCode>
                <c:ptCount val="5"/>
                <c:pt idx="0">
                  <c:v>70761459</c:v>
                </c:pt>
                <c:pt idx="1">
                  <c:v>149034168</c:v>
                </c:pt>
                <c:pt idx="2">
                  <c:v>10175683</c:v>
                </c:pt>
                <c:pt idx="3">
                  <c:v>2769138</c:v>
                </c:pt>
                <c:pt idx="4">
                  <c:v>4551893</c:v>
                </c:pt>
              </c:numCache>
            </c:numRef>
          </c:val>
          <c:extLst>
            <c:ext xmlns:c16="http://schemas.microsoft.com/office/drawing/2014/chart" uri="{C3380CC4-5D6E-409C-BE32-E72D297353CC}">
              <c16:uniqueId val="{00000000-BAAE-45B2-A24A-D46904700CFE}"/>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 page'!$F$1</c:f>
              <c:strCache>
                <c:ptCount val="1"/>
                <c:pt idx="0">
                  <c:v>Quantity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page'!$E$2:$E$6</c:f>
              <c:strCache>
                <c:ptCount val="5"/>
                <c:pt idx="0">
                  <c:v>Sindh</c:v>
                </c:pt>
                <c:pt idx="1">
                  <c:v>Punjab</c:v>
                </c:pt>
                <c:pt idx="2">
                  <c:v>Khyber Pakhtunkhwa</c:v>
                </c:pt>
                <c:pt idx="3">
                  <c:v>Islamabad</c:v>
                </c:pt>
                <c:pt idx="4">
                  <c:v>Azad Kashmir</c:v>
                </c:pt>
              </c:strCache>
            </c:strRef>
          </c:cat>
          <c:val>
            <c:numRef>
              <c:f>'Analysis page'!$F$2:$F$6</c:f>
              <c:numCache>
                <c:formatCode>General</c:formatCode>
                <c:ptCount val="5"/>
                <c:pt idx="0">
                  <c:v>20922</c:v>
                </c:pt>
                <c:pt idx="1">
                  <c:v>117616</c:v>
                </c:pt>
                <c:pt idx="2">
                  <c:v>5536</c:v>
                </c:pt>
                <c:pt idx="3">
                  <c:v>769</c:v>
                </c:pt>
                <c:pt idx="4">
                  <c:v>607</c:v>
                </c:pt>
              </c:numCache>
            </c:numRef>
          </c:val>
          <c:extLst>
            <c:ext xmlns:c16="http://schemas.microsoft.com/office/drawing/2014/chart" uri="{C3380CC4-5D6E-409C-BE32-E72D297353CC}">
              <c16:uniqueId val="{00000000-40F9-4541-B6BA-06F5B89D4E16}"/>
            </c:ext>
          </c:extLst>
        </c:ser>
        <c:dLbls>
          <c:dLblPos val="outEnd"/>
          <c:showLegendKey val="0"/>
          <c:showVal val="1"/>
          <c:showCatName val="0"/>
          <c:showSerName val="0"/>
          <c:showPercent val="0"/>
          <c:showBubbleSize val="0"/>
        </c:dLbls>
        <c:gapWidth val="219"/>
        <c:overlap val="-27"/>
        <c:axId val="557453808"/>
        <c:axId val="557450448"/>
      </c:barChart>
      <c:catAx>
        <c:axId val="557453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450448"/>
        <c:crosses val="autoZero"/>
        <c:auto val="1"/>
        <c:lblAlgn val="ctr"/>
        <c:lblOffset val="100"/>
        <c:noMultiLvlLbl val="0"/>
      </c:catAx>
      <c:valAx>
        <c:axId val="557450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453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'Analysis page'!$I$1</c:f>
              <c:strCache>
                <c:ptCount val="1"/>
                <c:pt idx="0">
                  <c:v>Rating</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CDF7-4BE1-B3E9-A0C6B1A827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CDF7-4BE1-B3E9-A0C6B1A827F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1E0-4B78-B02E-A788FAF5499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1E0-4B78-B02E-A788FAF5499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3-CDF7-4BE1-B3E9-A0C6B1A827FF}"/>
              </c:ext>
            </c:extLst>
          </c:dPt>
          <c:dLbls>
            <c:dLbl>
              <c:idx val="0"/>
              <c:layout>
                <c:manualLayout>
                  <c:x val="0.10748665791776028"/>
                  <c:y val="-4.7365850102070575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CDF7-4BE1-B3E9-A0C6B1A827FF}"/>
                </c:ext>
              </c:extLst>
            </c:dLbl>
            <c:dLbl>
              <c:idx val="1"/>
              <c:layout>
                <c:manualLayout>
                  <c:x val="-0.16397353455818023"/>
                  <c:y val="-0.11305737824438621"/>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DF7-4BE1-B3E9-A0C6B1A827FF}"/>
                </c:ext>
              </c:extLst>
            </c:dLbl>
            <c:dLbl>
              <c:idx val="4"/>
              <c:layout>
                <c:manualLayout>
                  <c:x val="7.0215441819772531E-2"/>
                  <c:y val="-9.5694808982210566E-3"/>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DF7-4BE1-B3E9-A0C6B1A827F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page'!$H$2:$H$6</c:f>
              <c:strCache>
                <c:ptCount val="5"/>
                <c:pt idx="0">
                  <c:v>Sindh</c:v>
                </c:pt>
                <c:pt idx="1">
                  <c:v>Punjab</c:v>
                </c:pt>
                <c:pt idx="2">
                  <c:v>Khyber Pakhtunkhwa</c:v>
                </c:pt>
                <c:pt idx="3">
                  <c:v>Islamabad</c:v>
                </c:pt>
                <c:pt idx="4">
                  <c:v>Azad Kashmir</c:v>
                </c:pt>
              </c:strCache>
            </c:strRef>
          </c:cat>
          <c:val>
            <c:numRef>
              <c:f>'Analysis page'!$I$2:$I$6</c:f>
              <c:numCache>
                <c:formatCode>General</c:formatCode>
                <c:ptCount val="5"/>
                <c:pt idx="0">
                  <c:v>3342.6</c:v>
                </c:pt>
                <c:pt idx="1">
                  <c:v>15280.32</c:v>
                </c:pt>
                <c:pt idx="2">
                  <c:v>791.5</c:v>
                </c:pt>
                <c:pt idx="3">
                  <c:v>246</c:v>
                </c:pt>
                <c:pt idx="4">
                  <c:v>82</c:v>
                </c:pt>
              </c:numCache>
            </c:numRef>
          </c:val>
          <c:extLst>
            <c:ext xmlns:c16="http://schemas.microsoft.com/office/drawing/2014/chart" uri="{C3380CC4-5D6E-409C-BE32-E72D297353CC}">
              <c16:uniqueId val="{00000000-CDF7-4BE1-B3E9-A0C6B1A827F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 page'!$C$9</c:f>
              <c:strCache>
                <c:ptCount val="1"/>
                <c:pt idx="0">
                  <c:v>Quantity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 page'!$B$10:$B$19</c:f>
              <c:numCache>
                <c:formatCode>General</c:formatCode>
                <c:ptCount val="10"/>
                <c:pt idx="0">
                  <c:v>1209</c:v>
                </c:pt>
                <c:pt idx="1">
                  <c:v>1211</c:v>
                </c:pt>
                <c:pt idx="2">
                  <c:v>1225</c:v>
                </c:pt>
                <c:pt idx="3">
                  <c:v>1232</c:v>
                </c:pt>
                <c:pt idx="4">
                  <c:v>1233</c:v>
                </c:pt>
                <c:pt idx="5">
                  <c:v>1259</c:v>
                </c:pt>
                <c:pt idx="6">
                  <c:v>1273</c:v>
                </c:pt>
                <c:pt idx="7">
                  <c:v>1376</c:v>
                </c:pt>
                <c:pt idx="8">
                  <c:v>1415</c:v>
                </c:pt>
                <c:pt idx="9">
                  <c:v>1430</c:v>
                </c:pt>
              </c:numCache>
            </c:numRef>
          </c:cat>
          <c:val>
            <c:numRef>
              <c:f>'Analysis page'!$C$10:$C$19</c:f>
              <c:numCache>
                <c:formatCode>General</c:formatCode>
                <c:ptCount val="10"/>
                <c:pt idx="0">
                  <c:v>3300</c:v>
                </c:pt>
                <c:pt idx="1">
                  <c:v>5800</c:v>
                </c:pt>
                <c:pt idx="2">
                  <c:v>17200</c:v>
                </c:pt>
                <c:pt idx="3">
                  <c:v>3100</c:v>
                </c:pt>
                <c:pt idx="4">
                  <c:v>6000</c:v>
                </c:pt>
                <c:pt idx="5">
                  <c:v>3400</c:v>
                </c:pt>
                <c:pt idx="6">
                  <c:v>3000</c:v>
                </c:pt>
                <c:pt idx="7">
                  <c:v>6300</c:v>
                </c:pt>
                <c:pt idx="8">
                  <c:v>3700</c:v>
                </c:pt>
                <c:pt idx="9">
                  <c:v>3000</c:v>
                </c:pt>
              </c:numCache>
            </c:numRef>
          </c:val>
          <c:extLst>
            <c:ext xmlns:c16="http://schemas.microsoft.com/office/drawing/2014/chart" uri="{C3380CC4-5D6E-409C-BE32-E72D297353CC}">
              <c16:uniqueId val="{00000000-217D-41FD-8247-0EACC865F736}"/>
            </c:ext>
          </c:extLst>
        </c:ser>
        <c:dLbls>
          <c:showLegendKey val="0"/>
          <c:showVal val="1"/>
          <c:showCatName val="0"/>
          <c:showSerName val="0"/>
          <c:showPercent val="0"/>
          <c:showBubbleSize val="0"/>
        </c:dLbls>
        <c:gapWidth val="150"/>
        <c:axId val="559218144"/>
        <c:axId val="540004944"/>
      </c:barChart>
      <c:catAx>
        <c:axId val="559218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004944"/>
        <c:crosses val="autoZero"/>
        <c:auto val="1"/>
        <c:lblAlgn val="ctr"/>
        <c:lblOffset val="100"/>
        <c:noMultiLvlLbl val="0"/>
      </c:catAx>
      <c:valAx>
        <c:axId val="540004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2181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'Analysis page'!$F$9</c:f>
              <c:strCache>
                <c:ptCount val="1"/>
                <c:pt idx="0">
                  <c:v>Quantity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 page'!$E$10:$E$20</c:f>
              <c:numCache>
                <c:formatCode>General</c:formatCode>
                <c:ptCount val="11"/>
                <c:pt idx="0">
                  <c:v>1213</c:v>
                </c:pt>
                <c:pt idx="1">
                  <c:v>1246</c:v>
                </c:pt>
                <c:pt idx="2">
                  <c:v>1286</c:v>
                </c:pt>
                <c:pt idx="3">
                  <c:v>1291</c:v>
                </c:pt>
                <c:pt idx="4">
                  <c:v>1308</c:v>
                </c:pt>
                <c:pt idx="5">
                  <c:v>1314</c:v>
                </c:pt>
                <c:pt idx="6">
                  <c:v>1326</c:v>
                </c:pt>
                <c:pt idx="7">
                  <c:v>1334</c:v>
                </c:pt>
                <c:pt idx="8">
                  <c:v>1340</c:v>
                </c:pt>
                <c:pt idx="9">
                  <c:v>1362</c:v>
                </c:pt>
                <c:pt idx="10">
                  <c:v>1371</c:v>
                </c:pt>
              </c:numCache>
            </c:numRef>
          </c:cat>
          <c:val>
            <c:numRef>
              <c:f>'Analysis page'!$F$10:$F$20</c:f>
              <c:numCache>
                <c:formatCode>General</c:formatCode>
                <c:ptCount val="11"/>
                <c:pt idx="0">
                  <c:v>6</c:v>
                </c:pt>
                <c:pt idx="1">
                  <c:v>5</c:v>
                </c:pt>
                <c:pt idx="2">
                  <c:v>6</c:v>
                </c:pt>
                <c:pt idx="3">
                  <c:v>6</c:v>
                </c:pt>
                <c:pt idx="4">
                  <c:v>5</c:v>
                </c:pt>
                <c:pt idx="5">
                  <c:v>6</c:v>
                </c:pt>
                <c:pt idx="6">
                  <c:v>5</c:v>
                </c:pt>
                <c:pt idx="7">
                  <c:v>5</c:v>
                </c:pt>
                <c:pt idx="8">
                  <c:v>5</c:v>
                </c:pt>
                <c:pt idx="9">
                  <c:v>5</c:v>
                </c:pt>
                <c:pt idx="10">
                  <c:v>5</c:v>
                </c:pt>
              </c:numCache>
            </c:numRef>
          </c:val>
          <c:extLst>
            <c:ext xmlns:c16="http://schemas.microsoft.com/office/drawing/2014/chart" uri="{C3380CC4-5D6E-409C-BE32-E72D297353CC}">
              <c16:uniqueId val="{00000000-EB61-4F41-9328-CEB894C5396F}"/>
            </c:ext>
          </c:extLst>
        </c:ser>
        <c:dLbls>
          <c:dLblPos val="outEnd"/>
          <c:showLegendKey val="0"/>
          <c:showVal val="1"/>
          <c:showCatName val="0"/>
          <c:showSerName val="0"/>
          <c:showPercent val="0"/>
          <c:showBubbleSize val="0"/>
        </c:dLbls>
        <c:gapWidth val="150"/>
        <c:axId val="439438720"/>
        <c:axId val="439443040"/>
      </c:barChart>
      <c:catAx>
        <c:axId val="439438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443040"/>
        <c:crosses val="autoZero"/>
        <c:auto val="1"/>
        <c:lblAlgn val="ctr"/>
        <c:lblOffset val="100"/>
        <c:noMultiLvlLbl val="0"/>
      </c:catAx>
      <c:valAx>
        <c:axId val="439443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4387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 page'!$I$9</c:f>
              <c:strCache>
                <c:ptCount val="1"/>
                <c:pt idx="0">
                  <c:v>Reviews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 page'!$H$10:$H$19</c:f>
              <c:numCache>
                <c:formatCode>General</c:formatCode>
                <c:ptCount val="10"/>
                <c:pt idx="0">
                  <c:v>1253</c:v>
                </c:pt>
                <c:pt idx="1">
                  <c:v>1254</c:v>
                </c:pt>
                <c:pt idx="2">
                  <c:v>1258</c:v>
                </c:pt>
                <c:pt idx="3">
                  <c:v>1259</c:v>
                </c:pt>
                <c:pt idx="4">
                  <c:v>1273</c:v>
                </c:pt>
                <c:pt idx="5">
                  <c:v>1415</c:v>
                </c:pt>
                <c:pt idx="6">
                  <c:v>1430</c:v>
                </c:pt>
                <c:pt idx="7">
                  <c:v>1432</c:v>
                </c:pt>
                <c:pt idx="8">
                  <c:v>1434</c:v>
                </c:pt>
                <c:pt idx="9">
                  <c:v>1439</c:v>
                </c:pt>
              </c:numCache>
            </c:numRef>
          </c:cat>
          <c:val>
            <c:numRef>
              <c:f>'Analysis page'!$I$10:$I$19</c:f>
              <c:numCache>
                <c:formatCode>General</c:formatCode>
                <c:ptCount val="10"/>
                <c:pt idx="0">
                  <c:v>353</c:v>
                </c:pt>
                <c:pt idx="1">
                  <c:v>321</c:v>
                </c:pt>
                <c:pt idx="2">
                  <c:v>686</c:v>
                </c:pt>
                <c:pt idx="3">
                  <c:v>725</c:v>
                </c:pt>
                <c:pt idx="4">
                  <c:v>527</c:v>
                </c:pt>
                <c:pt idx="5">
                  <c:v>628</c:v>
                </c:pt>
                <c:pt idx="6">
                  <c:v>641</c:v>
                </c:pt>
                <c:pt idx="7">
                  <c:v>248</c:v>
                </c:pt>
                <c:pt idx="8">
                  <c:v>494</c:v>
                </c:pt>
                <c:pt idx="9">
                  <c:v>294</c:v>
                </c:pt>
              </c:numCache>
            </c:numRef>
          </c:val>
          <c:extLst>
            <c:ext xmlns:c16="http://schemas.microsoft.com/office/drawing/2014/chart" uri="{C3380CC4-5D6E-409C-BE32-E72D297353CC}">
              <c16:uniqueId val="{00000000-4F33-45BB-8722-B38B3991342E}"/>
            </c:ext>
          </c:extLst>
        </c:ser>
        <c:dLbls>
          <c:dLblPos val="outEnd"/>
          <c:showLegendKey val="0"/>
          <c:showVal val="1"/>
          <c:showCatName val="0"/>
          <c:showSerName val="0"/>
          <c:showPercent val="0"/>
          <c:showBubbleSize val="0"/>
        </c:dLbls>
        <c:gapWidth val="150"/>
        <c:axId val="535310320"/>
        <c:axId val="535308880"/>
      </c:barChart>
      <c:catAx>
        <c:axId val="5353103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308880"/>
        <c:crosses val="autoZero"/>
        <c:auto val="1"/>
        <c:lblAlgn val="ctr"/>
        <c:lblOffset val="100"/>
        <c:noMultiLvlLbl val="0"/>
      </c:catAx>
      <c:valAx>
        <c:axId val="535308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310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'Analysis page'!$L$1</c:f>
              <c:strCache>
                <c:ptCount val="1"/>
                <c:pt idx="0">
                  <c:v>Discount Percentage</c:v>
                </c:pt>
              </c:strCache>
            </c:strRef>
          </c:tx>
          <c:dPt>
            <c:idx val="0"/>
            <c:bubble3D val="0"/>
            <c:spPr>
              <a:solidFill>
                <a:schemeClr val="accent1"/>
              </a:solidFill>
              <a:ln>
                <a:noFill/>
              </a:ln>
              <a:effectLst/>
            </c:spPr>
            <c:extLst>
              <c:ext xmlns:c16="http://schemas.microsoft.com/office/drawing/2014/chart" uri="{C3380CC4-5D6E-409C-BE32-E72D297353CC}">
                <c16:uniqueId val="{00000004-43D8-4C86-BE30-FED64F27D817}"/>
              </c:ext>
            </c:extLst>
          </c:dPt>
          <c:dPt>
            <c:idx val="1"/>
            <c:bubble3D val="0"/>
            <c:spPr>
              <a:solidFill>
                <a:schemeClr val="accent2"/>
              </a:solidFill>
              <a:ln>
                <a:noFill/>
              </a:ln>
              <a:effectLst/>
            </c:spPr>
            <c:extLst>
              <c:ext xmlns:c16="http://schemas.microsoft.com/office/drawing/2014/chart" uri="{C3380CC4-5D6E-409C-BE32-E72D297353CC}">
                <c16:uniqueId val="{00000002-43D8-4C86-BE30-FED64F27D817}"/>
              </c:ext>
            </c:extLst>
          </c:dPt>
          <c:dPt>
            <c:idx val="2"/>
            <c:bubble3D val="0"/>
            <c:spPr>
              <a:solidFill>
                <a:schemeClr val="accent3"/>
              </a:solidFill>
              <a:ln>
                <a:noFill/>
              </a:ln>
              <a:effectLst/>
            </c:spPr>
            <c:extLst>
              <c:ext xmlns:c16="http://schemas.microsoft.com/office/drawing/2014/chart" uri="{C3380CC4-5D6E-409C-BE32-E72D297353CC}">
                <c16:uniqueId val="{00000003-43D8-4C86-BE30-FED64F27D817}"/>
              </c:ext>
            </c:extLst>
          </c:dPt>
          <c:dPt>
            <c:idx val="3"/>
            <c:bubble3D val="0"/>
            <c:spPr>
              <a:solidFill>
                <a:schemeClr val="accent4"/>
              </a:solidFill>
              <a:ln>
                <a:noFill/>
              </a:ln>
              <a:effectLst/>
            </c:spPr>
            <c:extLst>
              <c:ext xmlns:c16="http://schemas.microsoft.com/office/drawing/2014/chart" uri="{C3380CC4-5D6E-409C-BE32-E72D297353CC}">
                <c16:uniqueId val="{00000007-D291-4234-9D6C-D9123F47FAC2}"/>
              </c:ext>
            </c:extLst>
          </c:dPt>
          <c:dPt>
            <c:idx val="4"/>
            <c:bubble3D val="0"/>
            <c:spPr>
              <a:solidFill>
                <a:schemeClr val="accent5"/>
              </a:solidFill>
              <a:ln>
                <a:noFill/>
              </a:ln>
              <a:effectLst/>
            </c:spPr>
            <c:extLst>
              <c:ext xmlns:c16="http://schemas.microsoft.com/office/drawing/2014/chart" uri="{C3380CC4-5D6E-409C-BE32-E72D297353CC}">
                <c16:uniqueId val="{00000009-D291-4234-9D6C-D9123F47FAC2}"/>
              </c:ext>
            </c:extLst>
          </c:dPt>
          <c:dLbls>
            <c:dLbl>
              <c:idx val="0"/>
              <c:layout>
                <c:manualLayout>
                  <c:x val="-7.7777777777777779E-2"/>
                  <c:y val="-3.703703703703705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D8-4C86-BE30-FED64F27D817}"/>
                </c:ext>
              </c:extLst>
            </c:dLbl>
            <c:dLbl>
              <c:idx val="1"/>
              <c:layout>
                <c:manualLayout>
                  <c:x val="2.5000000000000001E-2"/>
                  <c:y val="-4.629629629629629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3D8-4C86-BE30-FED64F27D817}"/>
                </c:ext>
              </c:extLst>
            </c:dLbl>
            <c:dLbl>
              <c:idx val="2"/>
              <c:layout>
                <c:manualLayout>
                  <c:x val="9.1666666666666563E-2"/>
                  <c:y val="-1.388888888888891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3D8-4C86-BE30-FED64F27D81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page'!$K$2:$K$6</c:f>
              <c:strCache>
                <c:ptCount val="5"/>
                <c:pt idx="0">
                  <c:v>Sindh</c:v>
                </c:pt>
                <c:pt idx="1">
                  <c:v>Punjab</c:v>
                </c:pt>
                <c:pt idx="2">
                  <c:v>Khyber Pakhtunkhwa</c:v>
                </c:pt>
                <c:pt idx="3">
                  <c:v>Islamabad</c:v>
                </c:pt>
                <c:pt idx="4">
                  <c:v>Azad Kashmir</c:v>
                </c:pt>
              </c:strCache>
            </c:strRef>
          </c:cat>
          <c:val>
            <c:numRef>
              <c:f>'Analysis page'!$L$2:$L$6</c:f>
              <c:numCache>
                <c:formatCode>0.00%</c:formatCode>
                <c:ptCount val="5"/>
                <c:pt idx="0">
                  <c:v>4.1740674955594997E-3</c:v>
                </c:pt>
                <c:pt idx="1">
                  <c:v>9.9467140319715805E-3</c:v>
                </c:pt>
                <c:pt idx="2">
                  <c:v>2.6731793960923622E-2</c:v>
                </c:pt>
                <c:pt idx="3">
                  <c:v>0.77300177619893429</c:v>
                </c:pt>
                <c:pt idx="4">
                  <c:v>0.18614564831261102</c:v>
                </c:pt>
              </c:numCache>
            </c:numRef>
          </c:val>
          <c:extLst>
            <c:ext xmlns:c16="http://schemas.microsoft.com/office/drawing/2014/chart" uri="{C3380CC4-5D6E-409C-BE32-E72D297353CC}">
              <c16:uniqueId val="{00000000-43D8-4C86-BE30-FED64F27D817}"/>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 page'!$L$9</c:f>
              <c:strCache>
                <c:ptCount val="1"/>
                <c:pt idx="0">
                  <c:v>Reviews</c:v>
                </c:pt>
              </c:strCache>
            </c:strRef>
          </c:tx>
          <c:spPr>
            <a:solidFill>
              <a:schemeClr val="accent1"/>
            </a:solidFill>
            <a:ln>
              <a:noFill/>
            </a:ln>
            <a:effectLst/>
          </c:spPr>
          <c:invertIfNegative val="0"/>
          <c:cat>
            <c:numRef>
              <c:f>'Analysis page'!$K$10:$K$19</c:f>
              <c:numCache>
                <c:formatCode>General</c:formatCode>
                <c:ptCount val="10"/>
                <c:pt idx="0">
                  <c:v>1234</c:v>
                </c:pt>
                <c:pt idx="1">
                  <c:v>1237</c:v>
                </c:pt>
                <c:pt idx="2">
                  <c:v>1241</c:v>
                </c:pt>
                <c:pt idx="3">
                  <c:v>1261</c:v>
                </c:pt>
                <c:pt idx="4">
                  <c:v>1404</c:v>
                </c:pt>
                <c:pt idx="5">
                  <c:v>1406</c:v>
                </c:pt>
                <c:pt idx="6">
                  <c:v>1410</c:v>
                </c:pt>
                <c:pt idx="7">
                  <c:v>1411</c:v>
                </c:pt>
                <c:pt idx="8">
                  <c:v>1436</c:v>
                </c:pt>
                <c:pt idx="9">
                  <c:v>1441</c:v>
                </c:pt>
              </c:numCache>
            </c:numRef>
          </c:cat>
          <c:val>
            <c:numRef>
              <c:f>'Analysis page'!$L$10:$L$19</c:f>
              <c:numCache>
                <c:formatCode>General</c:formatCode>
                <c:ptCount val="10"/>
                <c:pt idx="0">
                  <c:v>1</c:v>
                </c:pt>
                <c:pt idx="1">
                  <c:v>1</c:v>
                </c:pt>
                <c:pt idx="2">
                  <c:v>1</c:v>
                </c:pt>
                <c:pt idx="3">
                  <c:v>0</c:v>
                </c:pt>
                <c:pt idx="4">
                  <c:v>1</c:v>
                </c:pt>
                <c:pt idx="5">
                  <c:v>1</c:v>
                </c:pt>
                <c:pt idx="6">
                  <c:v>1</c:v>
                </c:pt>
                <c:pt idx="7">
                  <c:v>1</c:v>
                </c:pt>
                <c:pt idx="8">
                  <c:v>0</c:v>
                </c:pt>
                <c:pt idx="9">
                  <c:v>0</c:v>
                </c:pt>
              </c:numCache>
            </c:numRef>
          </c:val>
          <c:extLst>
            <c:ext xmlns:c16="http://schemas.microsoft.com/office/drawing/2014/chart" uri="{C3380CC4-5D6E-409C-BE32-E72D297353CC}">
              <c16:uniqueId val="{00000000-D8AB-4439-B989-59AB4E5D05CB}"/>
            </c:ext>
          </c:extLst>
        </c:ser>
        <c:dLbls>
          <c:showLegendKey val="0"/>
          <c:showVal val="0"/>
          <c:showCatName val="0"/>
          <c:showSerName val="0"/>
          <c:showPercent val="0"/>
          <c:showBubbleSize val="0"/>
        </c:dLbls>
        <c:gapWidth val="150"/>
        <c:axId val="309479680"/>
        <c:axId val="309467200"/>
      </c:barChart>
      <c:catAx>
        <c:axId val="309479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467200"/>
        <c:crosses val="autoZero"/>
        <c:auto val="1"/>
        <c:lblAlgn val="ctr"/>
        <c:lblOffset val="100"/>
        <c:noMultiLvlLbl val="0"/>
      </c:catAx>
      <c:valAx>
        <c:axId val="309467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4796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20" normalizeH="0" baseline="0">
                <a:solidFill>
                  <a:schemeClr val="tx1">
                    <a:lumMod val="65000"/>
                    <a:lumOff val="35000"/>
                  </a:schemeClr>
                </a:solidFill>
                <a:latin typeface="+mn-lt"/>
                <a:ea typeface="+mn-ea"/>
                <a:cs typeface="+mn-cs"/>
              </a:defRPr>
            </a:pPr>
            <a:r>
              <a:rPr lang="en-US" sz="1800" baseline="0">
                <a:solidFill>
                  <a:schemeClr val="tx1"/>
                </a:solidFill>
              </a:rPr>
              <a:t> 50 worst Products  By Revenue</a:t>
            </a:r>
            <a:endParaRPr lang="en-US" sz="1800">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2"/>
            </a:solidFill>
            <a:ln>
              <a:solidFill>
                <a:schemeClr val="accent6"/>
              </a:solidFill>
            </a:ln>
            <a:effectLst>
              <a:outerShdw blurRad="50800" dist="38100" algn="l" rotWithShape="0">
                <a:prstClr val="black">
                  <a:alpha val="40000"/>
                </a:prstClr>
              </a:outerShdw>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'Analysis page'!$Q$2:$Q$50</c:f>
              <c:numCache>
                <c:formatCode>General</c:formatCode>
                <c:ptCount val="49"/>
                <c:pt idx="0">
                  <c:v>1203</c:v>
                </c:pt>
                <c:pt idx="1">
                  <c:v>1204</c:v>
                </c:pt>
                <c:pt idx="2">
                  <c:v>1205</c:v>
                </c:pt>
                <c:pt idx="3">
                  <c:v>1206</c:v>
                </c:pt>
                <c:pt idx="4">
                  <c:v>1213</c:v>
                </c:pt>
                <c:pt idx="5">
                  <c:v>1220</c:v>
                </c:pt>
                <c:pt idx="6">
                  <c:v>1227</c:v>
                </c:pt>
                <c:pt idx="7">
                  <c:v>1234</c:v>
                </c:pt>
                <c:pt idx="8">
                  <c:v>1237</c:v>
                </c:pt>
                <c:pt idx="9">
                  <c:v>1238</c:v>
                </c:pt>
                <c:pt idx="10">
                  <c:v>1239</c:v>
                </c:pt>
                <c:pt idx="11">
                  <c:v>1246</c:v>
                </c:pt>
                <c:pt idx="12">
                  <c:v>1247</c:v>
                </c:pt>
                <c:pt idx="13">
                  <c:v>1249</c:v>
                </c:pt>
                <c:pt idx="14">
                  <c:v>1251</c:v>
                </c:pt>
                <c:pt idx="15">
                  <c:v>1261</c:v>
                </c:pt>
                <c:pt idx="16">
                  <c:v>1264</c:v>
                </c:pt>
                <c:pt idx="17">
                  <c:v>1274</c:v>
                </c:pt>
                <c:pt idx="18">
                  <c:v>1281</c:v>
                </c:pt>
                <c:pt idx="19">
                  <c:v>1285</c:v>
                </c:pt>
                <c:pt idx="20">
                  <c:v>1286</c:v>
                </c:pt>
                <c:pt idx="21">
                  <c:v>1291</c:v>
                </c:pt>
                <c:pt idx="22">
                  <c:v>1297</c:v>
                </c:pt>
                <c:pt idx="23">
                  <c:v>1298</c:v>
                </c:pt>
                <c:pt idx="24">
                  <c:v>1304</c:v>
                </c:pt>
                <c:pt idx="25">
                  <c:v>1308</c:v>
                </c:pt>
                <c:pt idx="26">
                  <c:v>1309</c:v>
                </c:pt>
                <c:pt idx="27">
                  <c:v>1314</c:v>
                </c:pt>
                <c:pt idx="28">
                  <c:v>1326</c:v>
                </c:pt>
                <c:pt idx="29">
                  <c:v>1329</c:v>
                </c:pt>
                <c:pt idx="30">
                  <c:v>1332</c:v>
                </c:pt>
                <c:pt idx="31">
                  <c:v>1334</c:v>
                </c:pt>
                <c:pt idx="32">
                  <c:v>1340</c:v>
                </c:pt>
                <c:pt idx="33">
                  <c:v>1343</c:v>
                </c:pt>
                <c:pt idx="34">
                  <c:v>1355</c:v>
                </c:pt>
                <c:pt idx="35">
                  <c:v>1360</c:v>
                </c:pt>
                <c:pt idx="36">
                  <c:v>1365</c:v>
                </c:pt>
                <c:pt idx="37">
                  <c:v>1370</c:v>
                </c:pt>
                <c:pt idx="38">
                  <c:v>1371</c:v>
                </c:pt>
                <c:pt idx="39">
                  <c:v>1383</c:v>
                </c:pt>
                <c:pt idx="40">
                  <c:v>1395</c:v>
                </c:pt>
                <c:pt idx="41">
                  <c:v>1403</c:v>
                </c:pt>
                <c:pt idx="42">
                  <c:v>1407</c:v>
                </c:pt>
                <c:pt idx="43">
                  <c:v>1421</c:v>
                </c:pt>
                <c:pt idx="44">
                  <c:v>1422</c:v>
                </c:pt>
                <c:pt idx="45">
                  <c:v>1424</c:v>
                </c:pt>
                <c:pt idx="46">
                  <c:v>1426</c:v>
                </c:pt>
                <c:pt idx="47">
                  <c:v>1431</c:v>
                </c:pt>
                <c:pt idx="48">
                  <c:v>1436</c:v>
                </c:pt>
              </c:numCache>
            </c:numRef>
          </c:cat>
          <c:val>
            <c:numRef>
              <c:f>'Analysis page'!$R$2:$R$50</c:f>
              <c:numCache>
                <c:formatCode>General</c:formatCode>
                <c:ptCount val="49"/>
                <c:pt idx="0">
                  <c:v>23702</c:v>
                </c:pt>
                <c:pt idx="1">
                  <c:v>10072</c:v>
                </c:pt>
                <c:pt idx="2">
                  <c:v>19340</c:v>
                </c:pt>
                <c:pt idx="3">
                  <c:v>15587</c:v>
                </c:pt>
                <c:pt idx="4">
                  <c:v>6966</c:v>
                </c:pt>
                <c:pt idx="5">
                  <c:v>31176</c:v>
                </c:pt>
                <c:pt idx="6">
                  <c:v>10392</c:v>
                </c:pt>
                <c:pt idx="7">
                  <c:v>14289</c:v>
                </c:pt>
                <c:pt idx="8">
                  <c:v>32475</c:v>
                </c:pt>
                <c:pt idx="9">
                  <c:v>8183</c:v>
                </c:pt>
                <c:pt idx="10">
                  <c:v>29904</c:v>
                </c:pt>
                <c:pt idx="11">
                  <c:v>16930</c:v>
                </c:pt>
                <c:pt idx="12">
                  <c:v>23984</c:v>
                </c:pt>
                <c:pt idx="13">
                  <c:v>22470</c:v>
                </c:pt>
                <c:pt idx="14">
                  <c:v>12586</c:v>
                </c:pt>
                <c:pt idx="15">
                  <c:v>7490</c:v>
                </c:pt>
                <c:pt idx="16">
                  <c:v>16983</c:v>
                </c:pt>
                <c:pt idx="17">
                  <c:v>13932</c:v>
                </c:pt>
                <c:pt idx="18">
                  <c:v>16269</c:v>
                </c:pt>
                <c:pt idx="19">
                  <c:v>17424</c:v>
                </c:pt>
                <c:pt idx="20">
                  <c:v>8988</c:v>
                </c:pt>
                <c:pt idx="21">
                  <c:v>17412</c:v>
                </c:pt>
                <c:pt idx="22">
                  <c:v>28434</c:v>
                </c:pt>
                <c:pt idx="23">
                  <c:v>23382</c:v>
                </c:pt>
                <c:pt idx="24">
                  <c:v>12586</c:v>
                </c:pt>
                <c:pt idx="25">
                  <c:v>5750</c:v>
                </c:pt>
                <c:pt idx="26">
                  <c:v>27279</c:v>
                </c:pt>
                <c:pt idx="27">
                  <c:v>7794</c:v>
                </c:pt>
                <c:pt idx="28">
                  <c:v>7740</c:v>
                </c:pt>
                <c:pt idx="29">
                  <c:v>23220</c:v>
                </c:pt>
                <c:pt idx="30">
                  <c:v>28574</c:v>
                </c:pt>
                <c:pt idx="31">
                  <c:v>17500</c:v>
                </c:pt>
                <c:pt idx="32">
                  <c:v>6495</c:v>
                </c:pt>
                <c:pt idx="33">
                  <c:v>27475</c:v>
                </c:pt>
                <c:pt idx="34">
                  <c:v>20784</c:v>
                </c:pt>
                <c:pt idx="35">
                  <c:v>17578</c:v>
                </c:pt>
                <c:pt idx="36">
                  <c:v>17024</c:v>
                </c:pt>
                <c:pt idx="37">
                  <c:v>13188</c:v>
                </c:pt>
                <c:pt idx="38">
                  <c:v>11995</c:v>
                </c:pt>
                <c:pt idx="39">
                  <c:v>12141</c:v>
                </c:pt>
                <c:pt idx="40">
                  <c:v>12990</c:v>
                </c:pt>
                <c:pt idx="41">
                  <c:v>24591</c:v>
                </c:pt>
                <c:pt idx="42">
                  <c:v>11687</c:v>
                </c:pt>
                <c:pt idx="43">
                  <c:v>14382</c:v>
                </c:pt>
                <c:pt idx="44">
                  <c:v>9093</c:v>
                </c:pt>
                <c:pt idx="45">
                  <c:v>27864</c:v>
                </c:pt>
                <c:pt idx="46">
                  <c:v>11984</c:v>
                </c:pt>
                <c:pt idx="47">
                  <c:v>18879</c:v>
                </c:pt>
                <c:pt idx="48">
                  <c:v>12866</c:v>
                </c:pt>
              </c:numCache>
            </c:numRef>
          </c:val>
          <c:extLst>
            <c:ext xmlns:c16="http://schemas.microsoft.com/office/drawing/2014/chart" uri="{C3380CC4-5D6E-409C-BE32-E72D297353CC}">
              <c16:uniqueId val="{00000000-4646-4EEB-835B-66231EA0C342}"/>
            </c:ext>
          </c:extLst>
        </c:ser>
        <c:dLbls>
          <c:dLblPos val="outEnd"/>
          <c:showLegendKey val="0"/>
          <c:showVal val="1"/>
          <c:showCatName val="0"/>
          <c:showSerName val="0"/>
          <c:showPercent val="0"/>
          <c:showBubbleSize val="0"/>
        </c:dLbls>
        <c:gapWidth val="50"/>
        <c:overlap val="-90"/>
        <c:axId val="535155488"/>
        <c:axId val="535156448"/>
      </c:barChart>
      <c:catAx>
        <c:axId val="53515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all" spc="120" normalizeH="0" baseline="0">
                <a:solidFill>
                  <a:schemeClr val="tx1"/>
                </a:solidFill>
                <a:latin typeface="+mn-lt"/>
                <a:ea typeface="+mn-ea"/>
                <a:cs typeface="+mn-cs"/>
              </a:defRPr>
            </a:pPr>
            <a:endParaRPr lang="en-US"/>
          </a:p>
        </c:txPr>
        <c:crossAx val="535156448"/>
        <c:crosses val="autoZero"/>
        <c:auto val="1"/>
        <c:lblAlgn val="ctr"/>
        <c:lblOffset val="100"/>
        <c:noMultiLvlLbl val="0"/>
      </c:catAx>
      <c:valAx>
        <c:axId val="535156448"/>
        <c:scaling>
          <c:orientation val="minMax"/>
        </c:scaling>
        <c:delete val="1"/>
        <c:axPos val="l"/>
        <c:numFmt formatCode="General" sourceLinked="1"/>
        <c:majorTickMark val="none"/>
        <c:minorTickMark val="none"/>
        <c:tickLblPos val="nextTo"/>
        <c:crossAx val="535155488"/>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5814964378320374"/>
          <c:y val="0.16140972515856233"/>
          <c:w val="0.30718407983013579"/>
          <c:h val="0.70244270613107829"/>
        </c:manualLayout>
      </c:layout>
      <c:doughnutChart>
        <c:varyColors val="1"/>
        <c:ser>
          <c:idx val="0"/>
          <c:order val="0"/>
          <c:tx>
            <c:strRef>
              <c:f>'Analysis page'!$C$1</c:f>
              <c:strCache>
                <c:ptCount val="1"/>
                <c:pt idx="0">
                  <c:v>Revenue</c:v>
                </c:pt>
              </c:strCache>
            </c:strRef>
          </c:tx>
          <c:dPt>
            <c:idx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1-2865-4C6D-86F0-C4A69D5544D5}"/>
              </c:ext>
            </c:extLst>
          </c:dPt>
          <c:dPt>
            <c:idx val="1"/>
            <c:bubble3D val="0"/>
            <c:spPr>
              <a:solidFill>
                <a:schemeClr val="accent6"/>
              </a:solidFill>
              <a:ln w="19050">
                <a:solidFill>
                  <a:schemeClr val="accent6"/>
                </a:solidFill>
              </a:ln>
              <a:effectLst>
                <a:outerShdw blurRad="50800" dist="38100" algn="l" rotWithShape="0">
                  <a:prstClr val="black">
                    <a:alpha val="40000"/>
                  </a:prstClr>
                </a:outerShdw>
              </a:effectLst>
            </c:spPr>
            <c:extLst>
              <c:ext xmlns:c16="http://schemas.microsoft.com/office/drawing/2014/chart" uri="{C3380CC4-5D6E-409C-BE32-E72D297353CC}">
                <c16:uniqueId val="{00000003-2865-4C6D-86F0-C4A69D5544D5}"/>
              </c:ext>
            </c:extLst>
          </c:dPt>
          <c:dPt>
            <c:idx val="2"/>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5-2865-4C6D-86F0-C4A69D5544D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865-4C6D-86F0-C4A69D5544D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865-4C6D-86F0-C4A69D5544D5}"/>
              </c:ext>
            </c:extLst>
          </c:dPt>
          <c:dLbls>
            <c:dLbl>
              <c:idx val="0"/>
              <c:layout>
                <c:manualLayout>
                  <c:x val="0.13333333333333333"/>
                  <c:y val="-4.6296296296296335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865-4C6D-86F0-C4A69D5544D5}"/>
                </c:ext>
              </c:extLst>
            </c:dLbl>
            <c:dLbl>
              <c:idx val="1"/>
              <c:layout>
                <c:manualLayout>
                  <c:x val="-0.125"/>
                  <c:y val="5.555555555555564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865-4C6D-86F0-C4A69D5544D5}"/>
                </c:ext>
              </c:extLst>
            </c:dLbl>
            <c:dLbl>
              <c:idx val="2"/>
              <c:layout>
                <c:manualLayout>
                  <c:x val="-0.15000000000000005"/>
                  <c:y val="-0.15740740740740741"/>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865-4C6D-86F0-C4A69D5544D5}"/>
                </c:ext>
              </c:extLst>
            </c:dLbl>
            <c:dLbl>
              <c:idx val="3"/>
              <c:layout>
                <c:manualLayout>
                  <c:x val="1.5405643737346486E-2"/>
                  <c:y val="-0.11842558139534884"/>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9279844632562038"/>
                      <c:h val="0.17882029598308666"/>
                    </c:manualLayout>
                  </c15:layout>
                </c:ext>
                <c:ext xmlns:c16="http://schemas.microsoft.com/office/drawing/2014/chart" uri="{C3380CC4-5D6E-409C-BE32-E72D297353CC}">
                  <c16:uniqueId val="{00000007-2865-4C6D-86F0-C4A69D5544D5}"/>
                </c:ext>
              </c:extLst>
            </c:dLbl>
            <c:dLbl>
              <c:idx val="4"/>
              <c:layout>
                <c:manualLayout>
                  <c:x val="0.27923996222884906"/>
                  <c:y val="-8.648249582130281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5493922707917"/>
                      <c:h val="8.6225369978858352E-2"/>
                    </c:manualLayout>
                  </c15:layout>
                </c:ext>
                <c:ext xmlns:c16="http://schemas.microsoft.com/office/drawing/2014/chart" uri="{C3380CC4-5D6E-409C-BE32-E72D297353CC}">
                  <c16:uniqueId val="{00000009-2865-4C6D-86F0-C4A69D5544D5}"/>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page'!$B$2:$B$6</c:f>
              <c:strCache>
                <c:ptCount val="5"/>
                <c:pt idx="0">
                  <c:v>Sindh</c:v>
                </c:pt>
                <c:pt idx="1">
                  <c:v>Punjab</c:v>
                </c:pt>
                <c:pt idx="2">
                  <c:v>Khyber Pakhtunkhwa</c:v>
                </c:pt>
                <c:pt idx="3">
                  <c:v>Islamabad</c:v>
                </c:pt>
                <c:pt idx="4">
                  <c:v>Azad Kashmir</c:v>
                </c:pt>
              </c:strCache>
            </c:strRef>
          </c:cat>
          <c:val>
            <c:numRef>
              <c:f>'Analysis page'!$C$2:$C$6</c:f>
              <c:numCache>
                <c:formatCode>[$Rs-846]\ #,##0</c:formatCode>
                <c:ptCount val="5"/>
                <c:pt idx="0">
                  <c:v>70761459</c:v>
                </c:pt>
                <c:pt idx="1">
                  <c:v>149034168</c:v>
                </c:pt>
                <c:pt idx="2">
                  <c:v>10175683</c:v>
                </c:pt>
                <c:pt idx="3">
                  <c:v>2769138</c:v>
                </c:pt>
                <c:pt idx="4">
                  <c:v>4551893</c:v>
                </c:pt>
              </c:numCache>
            </c:numRef>
          </c:val>
          <c:extLst>
            <c:ext xmlns:c16="http://schemas.microsoft.com/office/drawing/2014/chart" uri="{C3380CC4-5D6E-409C-BE32-E72D297353CC}">
              <c16:uniqueId val="{0000000A-2865-4C6D-86F0-C4A69D5544D5}"/>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Quantity</a:t>
            </a:r>
            <a:r>
              <a:rPr lang="en-US" sz="1800" b="1" baseline="0">
                <a:solidFill>
                  <a:schemeClr val="tx1"/>
                </a:solidFill>
              </a:rPr>
              <a:t> sold by each location</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335870516185477"/>
          <c:y val="0.19486111111111112"/>
          <c:w val="0.85219685039370074"/>
          <c:h val="0.67003098571011954"/>
        </c:manualLayout>
      </c:layout>
      <c:barChart>
        <c:barDir val="col"/>
        <c:grouping val="clustered"/>
        <c:varyColors val="0"/>
        <c:ser>
          <c:idx val="0"/>
          <c:order val="0"/>
          <c:tx>
            <c:strRef>
              <c:f>'Analysis page'!$F$1</c:f>
              <c:strCache>
                <c:ptCount val="1"/>
                <c:pt idx="0">
                  <c:v>Quantity</c:v>
                </c:pt>
              </c:strCache>
            </c:strRef>
          </c:tx>
          <c:spPr>
            <a:solidFill>
              <a:schemeClr val="accent2"/>
            </a:solidFill>
            <a:ln>
              <a:solidFill>
                <a:schemeClr val="accent6"/>
              </a:solidFill>
            </a:ln>
            <a:effectLst>
              <a:outerShdw blurRad="50800" dist="38100" algn="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page'!$E$2:$E$6</c:f>
              <c:strCache>
                <c:ptCount val="5"/>
                <c:pt idx="0">
                  <c:v>Sindh</c:v>
                </c:pt>
                <c:pt idx="1">
                  <c:v>Punjab</c:v>
                </c:pt>
                <c:pt idx="2">
                  <c:v>Khyber Pakhtunkhwa</c:v>
                </c:pt>
                <c:pt idx="3">
                  <c:v>Islamabad</c:v>
                </c:pt>
                <c:pt idx="4">
                  <c:v>Azad Kashmir</c:v>
                </c:pt>
              </c:strCache>
            </c:strRef>
          </c:cat>
          <c:val>
            <c:numRef>
              <c:f>'Analysis page'!$F$2:$F$6</c:f>
              <c:numCache>
                <c:formatCode>General</c:formatCode>
                <c:ptCount val="5"/>
                <c:pt idx="0">
                  <c:v>20922</c:v>
                </c:pt>
                <c:pt idx="1">
                  <c:v>117616</c:v>
                </c:pt>
                <c:pt idx="2">
                  <c:v>5536</c:v>
                </c:pt>
                <c:pt idx="3">
                  <c:v>769</c:v>
                </c:pt>
                <c:pt idx="4">
                  <c:v>607</c:v>
                </c:pt>
              </c:numCache>
            </c:numRef>
          </c:val>
          <c:extLst>
            <c:ext xmlns:c16="http://schemas.microsoft.com/office/drawing/2014/chart" uri="{C3380CC4-5D6E-409C-BE32-E72D297353CC}">
              <c16:uniqueId val="{00000000-CD9A-488B-98B7-6F1120161DDB}"/>
            </c:ext>
          </c:extLst>
        </c:ser>
        <c:dLbls>
          <c:dLblPos val="outEnd"/>
          <c:showLegendKey val="0"/>
          <c:showVal val="1"/>
          <c:showCatName val="0"/>
          <c:showSerName val="0"/>
          <c:showPercent val="0"/>
          <c:showBubbleSize val="0"/>
        </c:dLbls>
        <c:gapWidth val="20"/>
        <c:overlap val="-27"/>
        <c:axId val="557453808"/>
        <c:axId val="557450448"/>
      </c:barChart>
      <c:catAx>
        <c:axId val="557453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557450448"/>
        <c:crosses val="autoZero"/>
        <c:auto val="1"/>
        <c:lblAlgn val="ctr"/>
        <c:lblOffset val="100"/>
        <c:noMultiLvlLbl val="0"/>
      </c:catAx>
      <c:valAx>
        <c:axId val="557450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557453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Rating</a:t>
            </a:r>
            <a:r>
              <a:rPr lang="en-US" sz="1600" b="1" baseline="0">
                <a:solidFill>
                  <a:schemeClr val="tx1"/>
                </a:solidFill>
              </a:rPr>
              <a:t> by each location</a:t>
            </a:r>
            <a:endParaRPr lang="en-US" sz="1600" b="1">
              <a:solidFill>
                <a:schemeClr val="tx1"/>
              </a:solidFill>
            </a:endParaRPr>
          </a:p>
        </c:rich>
      </c:tx>
      <c:layout>
        <c:manualLayout>
          <c:xMode val="edge"/>
          <c:yMode val="edge"/>
          <c:x val="0.18318214708580852"/>
          <c:y val="1.71757054380041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'Analysis page'!$I$1</c:f>
              <c:strCache>
                <c:ptCount val="1"/>
                <c:pt idx="0">
                  <c:v>Rating</c:v>
                </c:pt>
              </c:strCache>
            </c:strRef>
          </c:tx>
          <c:spPr>
            <a:ln>
              <a:solidFill>
                <a:schemeClr val="accent6"/>
              </a:solidFill>
            </a:ln>
            <a:effectLst>
              <a:outerShdw blurRad="50800" dist="38100" algn="l" rotWithShape="0">
                <a:prstClr val="black">
                  <a:alpha val="40000"/>
                </a:prstClr>
              </a:outerShdw>
            </a:effectLst>
          </c:spPr>
          <c:dPt>
            <c:idx val="0"/>
            <c:bubble3D val="0"/>
            <c:spPr>
              <a:solidFill>
                <a:schemeClr val="accent4"/>
              </a:solidFill>
              <a:ln w="19050">
                <a:solidFill>
                  <a:schemeClr val="accent6"/>
                </a:solidFill>
              </a:ln>
              <a:effectLst>
                <a:outerShdw blurRad="50800" dist="38100" algn="l" rotWithShape="0">
                  <a:prstClr val="black">
                    <a:alpha val="40000"/>
                  </a:prstClr>
                </a:outerShdw>
              </a:effectLst>
            </c:spPr>
            <c:extLst>
              <c:ext xmlns:c16="http://schemas.microsoft.com/office/drawing/2014/chart" uri="{C3380CC4-5D6E-409C-BE32-E72D297353CC}">
                <c16:uniqueId val="{00000001-59B6-4A60-BBF7-ED822DD559D7}"/>
              </c:ext>
            </c:extLst>
          </c:dPt>
          <c:dPt>
            <c:idx val="1"/>
            <c:bubble3D val="0"/>
            <c:spPr>
              <a:solidFill>
                <a:schemeClr val="accent2"/>
              </a:solidFill>
              <a:ln w="19050">
                <a:solidFill>
                  <a:schemeClr val="accent6"/>
                </a:solidFill>
              </a:ln>
              <a:effectLst>
                <a:outerShdw blurRad="50800" dist="38100" algn="l" rotWithShape="0">
                  <a:prstClr val="black">
                    <a:alpha val="40000"/>
                  </a:prstClr>
                </a:outerShdw>
              </a:effectLst>
            </c:spPr>
            <c:extLst>
              <c:ext xmlns:c16="http://schemas.microsoft.com/office/drawing/2014/chart" uri="{C3380CC4-5D6E-409C-BE32-E72D297353CC}">
                <c16:uniqueId val="{00000003-59B6-4A60-BBF7-ED822DD559D7}"/>
              </c:ext>
            </c:extLst>
          </c:dPt>
          <c:dPt>
            <c:idx val="2"/>
            <c:bubble3D val="0"/>
            <c:spPr>
              <a:solidFill>
                <a:schemeClr val="accent4">
                  <a:lumMod val="60000"/>
                  <a:lumOff val="40000"/>
                </a:schemeClr>
              </a:solidFill>
              <a:ln w="19050">
                <a:solidFill>
                  <a:schemeClr val="accent6"/>
                </a:solidFill>
              </a:ln>
              <a:effectLst>
                <a:outerShdw blurRad="50800" dist="38100" algn="l" rotWithShape="0">
                  <a:prstClr val="black">
                    <a:alpha val="40000"/>
                  </a:prstClr>
                </a:outerShdw>
              </a:effectLst>
            </c:spPr>
            <c:extLst>
              <c:ext xmlns:c16="http://schemas.microsoft.com/office/drawing/2014/chart" uri="{C3380CC4-5D6E-409C-BE32-E72D297353CC}">
                <c16:uniqueId val="{00000005-59B6-4A60-BBF7-ED822DD559D7}"/>
              </c:ext>
            </c:extLst>
          </c:dPt>
          <c:dPt>
            <c:idx val="3"/>
            <c:bubble3D val="0"/>
            <c:spPr>
              <a:solidFill>
                <a:schemeClr val="accent4"/>
              </a:solidFill>
              <a:ln w="19050">
                <a:solidFill>
                  <a:schemeClr val="accent6"/>
                </a:solidFill>
              </a:ln>
              <a:effectLst>
                <a:outerShdw blurRad="50800" dist="38100" algn="l" rotWithShape="0">
                  <a:prstClr val="black">
                    <a:alpha val="40000"/>
                  </a:prstClr>
                </a:outerShdw>
              </a:effectLst>
            </c:spPr>
            <c:extLst>
              <c:ext xmlns:c16="http://schemas.microsoft.com/office/drawing/2014/chart" uri="{C3380CC4-5D6E-409C-BE32-E72D297353CC}">
                <c16:uniqueId val="{00000007-59B6-4A60-BBF7-ED822DD559D7}"/>
              </c:ext>
            </c:extLst>
          </c:dPt>
          <c:dPt>
            <c:idx val="4"/>
            <c:bubble3D val="0"/>
            <c:spPr>
              <a:solidFill>
                <a:schemeClr val="accent5"/>
              </a:solidFill>
              <a:ln w="19050">
                <a:solidFill>
                  <a:schemeClr val="accent6"/>
                </a:solidFill>
              </a:ln>
              <a:effectLst>
                <a:outerShdw blurRad="50800" dist="38100" algn="l" rotWithShape="0">
                  <a:prstClr val="black">
                    <a:alpha val="40000"/>
                  </a:prstClr>
                </a:outerShdw>
              </a:effectLst>
            </c:spPr>
            <c:extLst>
              <c:ext xmlns:c16="http://schemas.microsoft.com/office/drawing/2014/chart" uri="{C3380CC4-5D6E-409C-BE32-E72D297353CC}">
                <c16:uniqueId val="{00000009-59B6-4A60-BBF7-ED822DD559D7}"/>
              </c:ext>
            </c:extLst>
          </c:dPt>
          <c:dLbls>
            <c:dLbl>
              <c:idx val="0"/>
              <c:layout>
                <c:manualLayout>
                  <c:x val="0.12312181621706801"/>
                  <c:y val="0.11150954840742663"/>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9B6-4A60-BBF7-ED822DD559D7}"/>
                </c:ext>
              </c:extLst>
            </c:dLbl>
            <c:dLbl>
              <c:idx val="1"/>
              <c:layout>
                <c:manualLayout>
                  <c:x val="-0.16397353455818023"/>
                  <c:y val="-0.11305737824438621"/>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9B6-4A60-BBF7-ED822DD559D7}"/>
                </c:ext>
              </c:extLst>
            </c:dLbl>
            <c:dLbl>
              <c:idx val="4"/>
              <c:layout>
                <c:manualLayout>
                  <c:x val="0.16402658842510334"/>
                  <c:y val="-2.2451148980310826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59B6-4A60-BBF7-ED822DD559D7}"/>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page'!$H$2:$H$6</c:f>
              <c:strCache>
                <c:ptCount val="5"/>
                <c:pt idx="0">
                  <c:v>Sindh</c:v>
                </c:pt>
                <c:pt idx="1">
                  <c:v>Punjab</c:v>
                </c:pt>
                <c:pt idx="2">
                  <c:v>Khyber Pakhtunkhwa</c:v>
                </c:pt>
                <c:pt idx="3">
                  <c:v>Islamabad</c:v>
                </c:pt>
                <c:pt idx="4">
                  <c:v>Azad Kashmir</c:v>
                </c:pt>
              </c:strCache>
            </c:strRef>
          </c:cat>
          <c:val>
            <c:numRef>
              <c:f>'Analysis page'!$I$2:$I$6</c:f>
              <c:numCache>
                <c:formatCode>General</c:formatCode>
                <c:ptCount val="5"/>
                <c:pt idx="0">
                  <c:v>3342.6</c:v>
                </c:pt>
                <c:pt idx="1">
                  <c:v>15280.32</c:v>
                </c:pt>
                <c:pt idx="2">
                  <c:v>791.5</c:v>
                </c:pt>
                <c:pt idx="3">
                  <c:v>246</c:v>
                </c:pt>
                <c:pt idx="4">
                  <c:v>82</c:v>
                </c:pt>
              </c:numCache>
            </c:numRef>
          </c:val>
          <c:extLst>
            <c:ext xmlns:c16="http://schemas.microsoft.com/office/drawing/2014/chart" uri="{C3380CC4-5D6E-409C-BE32-E72D297353CC}">
              <c16:uniqueId val="{0000000A-59B6-4A60-BBF7-ED822DD559D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rnd"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10</a:t>
            </a:r>
            <a:r>
              <a:rPr lang="en-US" sz="1600" b="1" baseline="0">
                <a:solidFill>
                  <a:schemeClr val="tx1"/>
                </a:solidFill>
              </a:rPr>
              <a:t> best product by quantity sold</a:t>
            </a:r>
            <a:endParaRPr lang="en-US" sz="1600" b="1">
              <a:solidFill>
                <a:schemeClr val="tx1"/>
              </a:solidFill>
            </a:endParaRPr>
          </a:p>
        </c:rich>
      </c:tx>
      <c:layout>
        <c:manualLayout>
          <c:xMode val="edge"/>
          <c:yMode val="edge"/>
          <c:x val="0.1299779783421217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 page'!$C$9</c:f>
              <c:strCache>
                <c:ptCount val="1"/>
                <c:pt idx="0">
                  <c:v>Quantity</c:v>
                </c:pt>
              </c:strCache>
            </c:strRef>
          </c:tx>
          <c:spPr>
            <a:solidFill>
              <a:schemeClr val="accent2"/>
            </a:solidFill>
            <a:ln>
              <a:solidFill>
                <a:schemeClr val="accent6"/>
              </a:solidFill>
            </a:ln>
            <a:effectLst>
              <a:outerShdw blurRad="50800" dist="38100" algn="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 page'!$B$10:$B$19</c:f>
              <c:numCache>
                <c:formatCode>General</c:formatCode>
                <c:ptCount val="10"/>
                <c:pt idx="0">
                  <c:v>1209</c:v>
                </c:pt>
                <c:pt idx="1">
                  <c:v>1211</c:v>
                </c:pt>
                <c:pt idx="2">
                  <c:v>1225</c:v>
                </c:pt>
                <c:pt idx="3">
                  <c:v>1232</c:v>
                </c:pt>
                <c:pt idx="4">
                  <c:v>1233</c:v>
                </c:pt>
                <c:pt idx="5">
                  <c:v>1259</c:v>
                </c:pt>
                <c:pt idx="6">
                  <c:v>1273</c:v>
                </c:pt>
                <c:pt idx="7">
                  <c:v>1376</c:v>
                </c:pt>
                <c:pt idx="8">
                  <c:v>1415</c:v>
                </c:pt>
                <c:pt idx="9">
                  <c:v>1430</c:v>
                </c:pt>
              </c:numCache>
            </c:numRef>
          </c:cat>
          <c:val>
            <c:numRef>
              <c:f>'Analysis page'!$C$10:$C$19</c:f>
              <c:numCache>
                <c:formatCode>General</c:formatCode>
                <c:ptCount val="10"/>
                <c:pt idx="0">
                  <c:v>3300</c:v>
                </c:pt>
                <c:pt idx="1">
                  <c:v>5800</c:v>
                </c:pt>
                <c:pt idx="2">
                  <c:v>17200</c:v>
                </c:pt>
                <c:pt idx="3">
                  <c:v>3100</c:v>
                </c:pt>
                <c:pt idx="4">
                  <c:v>6000</c:v>
                </c:pt>
                <c:pt idx="5">
                  <c:v>3400</c:v>
                </c:pt>
                <c:pt idx="6">
                  <c:v>3000</c:v>
                </c:pt>
                <c:pt idx="7">
                  <c:v>6300</c:v>
                </c:pt>
                <c:pt idx="8">
                  <c:v>3700</c:v>
                </c:pt>
                <c:pt idx="9">
                  <c:v>3000</c:v>
                </c:pt>
              </c:numCache>
            </c:numRef>
          </c:val>
          <c:extLst>
            <c:ext xmlns:c16="http://schemas.microsoft.com/office/drawing/2014/chart" uri="{C3380CC4-5D6E-409C-BE32-E72D297353CC}">
              <c16:uniqueId val="{00000000-A7E7-483A-AA09-CDA9D07A54AE}"/>
            </c:ext>
          </c:extLst>
        </c:ser>
        <c:dLbls>
          <c:showLegendKey val="0"/>
          <c:showVal val="1"/>
          <c:showCatName val="0"/>
          <c:showSerName val="0"/>
          <c:showPercent val="0"/>
          <c:showBubbleSize val="0"/>
        </c:dLbls>
        <c:gapWidth val="15"/>
        <c:axId val="559218144"/>
        <c:axId val="540004944"/>
      </c:barChart>
      <c:catAx>
        <c:axId val="559218144"/>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540004944"/>
        <c:crosses val="autoZero"/>
        <c:auto val="1"/>
        <c:lblAlgn val="ctr"/>
        <c:lblOffset val="100"/>
        <c:noMultiLvlLbl val="0"/>
      </c:catAx>
      <c:valAx>
        <c:axId val="540004944"/>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5592181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2000" b="1">
                <a:solidFill>
                  <a:schemeClr val="tx1"/>
                </a:solidFill>
              </a:rPr>
              <a:t>50 best</a:t>
            </a:r>
            <a:r>
              <a:rPr lang="en-US" sz="2000" b="1" baseline="0">
                <a:solidFill>
                  <a:schemeClr val="tx1"/>
                </a:solidFill>
              </a:rPr>
              <a:t> </a:t>
            </a:r>
            <a:r>
              <a:rPr lang="en-US" sz="2000" b="1">
                <a:solidFill>
                  <a:schemeClr val="tx1"/>
                </a:solidFill>
              </a:rPr>
              <a:t>Products</a:t>
            </a:r>
            <a:r>
              <a:rPr lang="en-US" sz="2000" b="1" baseline="0">
                <a:solidFill>
                  <a:schemeClr val="tx1"/>
                </a:solidFill>
              </a:rPr>
              <a:t> performance by Revenue</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2"/>
            </a:solidFill>
            <a:ln>
              <a:solidFill>
                <a:schemeClr val="accent6"/>
              </a:solidFill>
            </a:ln>
            <a:effectLst>
              <a:outerShdw blurRad="50800" dist="38100" algn="l" rotWithShape="0">
                <a:prstClr val="black">
                  <a:alpha val="40000"/>
                </a:prstClr>
              </a:outerShdw>
            </a:effectLst>
          </c:spPr>
          <c:invertIfNegative val="0"/>
          <c:dLbls>
            <c:spPr>
              <a:noFill/>
              <a:ln>
                <a:solidFill>
                  <a:schemeClr val="accent6"/>
                </a:solidFill>
              </a:ln>
              <a:effectLst/>
            </c:spPr>
            <c:txPr>
              <a:bodyPr rot="-5400000" spcFirstLastPara="1" vertOverflow="clip" horzOverflow="clip"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'Analysis page'!$N$2:$N$51</c:f>
              <c:numCache>
                <c:formatCode>General</c:formatCode>
                <c:ptCount val="50"/>
                <c:pt idx="0">
                  <c:v>1201</c:v>
                </c:pt>
                <c:pt idx="1">
                  <c:v>1209</c:v>
                </c:pt>
                <c:pt idx="2">
                  <c:v>1211</c:v>
                </c:pt>
                <c:pt idx="3">
                  <c:v>1215</c:v>
                </c:pt>
                <c:pt idx="4">
                  <c:v>1216</c:v>
                </c:pt>
                <c:pt idx="5">
                  <c:v>1223</c:v>
                </c:pt>
                <c:pt idx="6">
                  <c:v>1225</c:v>
                </c:pt>
                <c:pt idx="7">
                  <c:v>1232</c:v>
                </c:pt>
                <c:pt idx="8">
                  <c:v>1233</c:v>
                </c:pt>
                <c:pt idx="9">
                  <c:v>1242</c:v>
                </c:pt>
                <c:pt idx="10">
                  <c:v>1243</c:v>
                </c:pt>
                <c:pt idx="11">
                  <c:v>1245</c:v>
                </c:pt>
                <c:pt idx="12">
                  <c:v>1248</c:v>
                </c:pt>
                <c:pt idx="13">
                  <c:v>1258</c:v>
                </c:pt>
                <c:pt idx="14">
                  <c:v>1259</c:v>
                </c:pt>
                <c:pt idx="15">
                  <c:v>1262</c:v>
                </c:pt>
                <c:pt idx="16">
                  <c:v>1263</c:v>
                </c:pt>
                <c:pt idx="17">
                  <c:v>1269</c:v>
                </c:pt>
                <c:pt idx="18">
                  <c:v>1270</c:v>
                </c:pt>
                <c:pt idx="19">
                  <c:v>1280</c:v>
                </c:pt>
                <c:pt idx="20">
                  <c:v>1282</c:v>
                </c:pt>
                <c:pt idx="21">
                  <c:v>1287</c:v>
                </c:pt>
                <c:pt idx="22">
                  <c:v>1288</c:v>
                </c:pt>
                <c:pt idx="23">
                  <c:v>1312</c:v>
                </c:pt>
                <c:pt idx="24">
                  <c:v>1315</c:v>
                </c:pt>
                <c:pt idx="25">
                  <c:v>1316</c:v>
                </c:pt>
                <c:pt idx="26">
                  <c:v>1319</c:v>
                </c:pt>
                <c:pt idx="27">
                  <c:v>1331</c:v>
                </c:pt>
                <c:pt idx="28">
                  <c:v>1335</c:v>
                </c:pt>
                <c:pt idx="29">
                  <c:v>1351</c:v>
                </c:pt>
                <c:pt idx="30">
                  <c:v>1356</c:v>
                </c:pt>
                <c:pt idx="31">
                  <c:v>1364</c:v>
                </c:pt>
                <c:pt idx="32">
                  <c:v>1366</c:v>
                </c:pt>
                <c:pt idx="33">
                  <c:v>1367</c:v>
                </c:pt>
                <c:pt idx="34">
                  <c:v>1373</c:v>
                </c:pt>
                <c:pt idx="35">
                  <c:v>1376</c:v>
                </c:pt>
                <c:pt idx="36">
                  <c:v>1379</c:v>
                </c:pt>
                <c:pt idx="37">
                  <c:v>1380</c:v>
                </c:pt>
                <c:pt idx="38">
                  <c:v>1381</c:v>
                </c:pt>
                <c:pt idx="39">
                  <c:v>1386</c:v>
                </c:pt>
                <c:pt idx="40">
                  <c:v>1392</c:v>
                </c:pt>
                <c:pt idx="41">
                  <c:v>1400</c:v>
                </c:pt>
                <c:pt idx="42">
                  <c:v>1404</c:v>
                </c:pt>
                <c:pt idx="43">
                  <c:v>1410</c:v>
                </c:pt>
                <c:pt idx="44">
                  <c:v>1411</c:v>
                </c:pt>
                <c:pt idx="45">
                  <c:v>1412</c:v>
                </c:pt>
                <c:pt idx="46">
                  <c:v>1413</c:v>
                </c:pt>
                <c:pt idx="47">
                  <c:v>1415</c:v>
                </c:pt>
                <c:pt idx="48">
                  <c:v>1430</c:v>
                </c:pt>
                <c:pt idx="49">
                  <c:v>1434</c:v>
                </c:pt>
              </c:numCache>
            </c:numRef>
          </c:cat>
          <c:val>
            <c:numRef>
              <c:f>'Analysis page'!$O$2:$O$51</c:f>
              <c:numCache>
                <c:formatCode>General</c:formatCode>
                <c:ptCount val="50"/>
                <c:pt idx="0">
                  <c:v>1618200</c:v>
                </c:pt>
                <c:pt idx="1">
                  <c:v>4072200</c:v>
                </c:pt>
                <c:pt idx="2">
                  <c:v>4843000</c:v>
                </c:pt>
                <c:pt idx="3">
                  <c:v>1558800</c:v>
                </c:pt>
                <c:pt idx="4">
                  <c:v>2078400</c:v>
                </c:pt>
                <c:pt idx="5">
                  <c:v>1538600</c:v>
                </c:pt>
                <c:pt idx="6">
                  <c:v>12917200</c:v>
                </c:pt>
                <c:pt idx="7">
                  <c:v>3648700</c:v>
                </c:pt>
                <c:pt idx="8">
                  <c:v>5070000</c:v>
                </c:pt>
                <c:pt idx="9">
                  <c:v>4290000</c:v>
                </c:pt>
                <c:pt idx="10">
                  <c:v>2111146</c:v>
                </c:pt>
                <c:pt idx="11">
                  <c:v>4248393</c:v>
                </c:pt>
                <c:pt idx="12">
                  <c:v>3526670</c:v>
                </c:pt>
                <c:pt idx="13">
                  <c:v>2317100</c:v>
                </c:pt>
                <c:pt idx="14">
                  <c:v>2546600</c:v>
                </c:pt>
                <c:pt idx="15">
                  <c:v>6373500</c:v>
                </c:pt>
                <c:pt idx="16">
                  <c:v>3338500</c:v>
                </c:pt>
                <c:pt idx="17">
                  <c:v>2276250</c:v>
                </c:pt>
                <c:pt idx="18">
                  <c:v>2002493</c:v>
                </c:pt>
                <c:pt idx="19">
                  <c:v>1972143</c:v>
                </c:pt>
                <c:pt idx="20">
                  <c:v>3459293</c:v>
                </c:pt>
                <c:pt idx="21">
                  <c:v>3944893</c:v>
                </c:pt>
                <c:pt idx="22">
                  <c:v>1577800</c:v>
                </c:pt>
                <c:pt idx="23">
                  <c:v>1960200</c:v>
                </c:pt>
                <c:pt idx="24">
                  <c:v>2549400</c:v>
                </c:pt>
                <c:pt idx="25">
                  <c:v>2100600</c:v>
                </c:pt>
                <c:pt idx="26">
                  <c:v>1517500</c:v>
                </c:pt>
                <c:pt idx="27">
                  <c:v>4551893</c:v>
                </c:pt>
                <c:pt idx="28">
                  <c:v>3459293</c:v>
                </c:pt>
                <c:pt idx="29">
                  <c:v>3944893</c:v>
                </c:pt>
                <c:pt idx="30">
                  <c:v>1997030</c:v>
                </c:pt>
                <c:pt idx="31">
                  <c:v>4856000</c:v>
                </c:pt>
                <c:pt idx="32">
                  <c:v>2852900</c:v>
                </c:pt>
                <c:pt idx="33">
                  <c:v>4552500</c:v>
                </c:pt>
                <c:pt idx="34">
                  <c:v>2124500</c:v>
                </c:pt>
                <c:pt idx="35">
                  <c:v>9172800</c:v>
                </c:pt>
                <c:pt idx="36">
                  <c:v>2428000</c:v>
                </c:pt>
                <c:pt idx="37">
                  <c:v>4855393</c:v>
                </c:pt>
                <c:pt idx="38">
                  <c:v>3945500</c:v>
                </c:pt>
                <c:pt idx="39">
                  <c:v>1558800</c:v>
                </c:pt>
                <c:pt idx="40">
                  <c:v>2428000</c:v>
                </c:pt>
                <c:pt idx="41">
                  <c:v>1821000</c:v>
                </c:pt>
                <c:pt idx="42">
                  <c:v>4066900</c:v>
                </c:pt>
                <c:pt idx="43">
                  <c:v>1577593</c:v>
                </c:pt>
                <c:pt idx="44">
                  <c:v>2730893</c:v>
                </c:pt>
                <c:pt idx="45">
                  <c:v>4551893</c:v>
                </c:pt>
                <c:pt idx="46">
                  <c:v>4856000</c:v>
                </c:pt>
                <c:pt idx="47">
                  <c:v>2612200</c:v>
                </c:pt>
                <c:pt idx="48">
                  <c:v>2628000</c:v>
                </c:pt>
                <c:pt idx="49">
                  <c:v>2167900</c:v>
                </c:pt>
              </c:numCache>
            </c:numRef>
          </c:val>
          <c:extLst>
            <c:ext xmlns:c16="http://schemas.microsoft.com/office/drawing/2014/chart" uri="{C3380CC4-5D6E-409C-BE32-E72D297353CC}">
              <c16:uniqueId val="{00000000-3C64-4DCA-B72F-3FC22E2110CE}"/>
            </c:ext>
          </c:extLst>
        </c:ser>
        <c:dLbls>
          <c:dLblPos val="outEnd"/>
          <c:showLegendKey val="0"/>
          <c:showVal val="1"/>
          <c:showCatName val="0"/>
          <c:showSerName val="0"/>
          <c:showPercent val="0"/>
          <c:showBubbleSize val="0"/>
        </c:dLbls>
        <c:gapWidth val="50"/>
        <c:overlap val="-90"/>
        <c:axId val="439821888"/>
        <c:axId val="439822848"/>
      </c:barChart>
      <c:catAx>
        <c:axId val="43982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cap="all" spc="120" normalizeH="0" baseline="0">
                <a:solidFill>
                  <a:schemeClr val="tx1"/>
                </a:solidFill>
                <a:latin typeface="+mn-lt"/>
                <a:ea typeface="+mn-ea"/>
                <a:cs typeface="+mn-cs"/>
              </a:defRPr>
            </a:pPr>
            <a:endParaRPr lang="en-US"/>
          </a:p>
        </c:txPr>
        <c:crossAx val="439822848"/>
        <c:crosses val="autoZero"/>
        <c:auto val="1"/>
        <c:lblAlgn val="ctr"/>
        <c:lblOffset val="100"/>
        <c:noMultiLvlLbl val="0"/>
      </c:catAx>
      <c:valAx>
        <c:axId val="439822848"/>
        <c:scaling>
          <c:orientation val="minMax"/>
        </c:scaling>
        <c:delete val="1"/>
        <c:axPos val="l"/>
        <c:numFmt formatCode="General" sourceLinked="1"/>
        <c:majorTickMark val="none"/>
        <c:minorTickMark val="none"/>
        <c:tickLblPos val="nextTo"/>
        <c:crossAx val="439821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10</a:t>
            </a:r>
            <a:r>
              <a:rPr lang="en-US" sz="2000" b="1" baseline="0">
                <a:solidFill>
                  <a:schemeClr val="tx1"/>
                </a:solidFill>
              </a:rPr>
              <a:t> worst product by quantity sold</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'Analysis page'!$F$9</c:f>
              <c:strCache>
                <c:ptCount val="1"/>
                <c:pt idx="0">
                  <c:v>Quantity</c:v>
                </c:pt>
              </c:strCache>
            </c:strRef>
          </c:tx>
          <c:spPr>
            <a:solidFill>
              <a:schemeClr val="accent2"/>
            </a:solidFill>
            <a:ln>
              <a:solidFill>
                <a:schemeClr val="accent6"/>
              </a:solidFill>
            </a:ln>
            <a:effectLst>
              <a:outerShdw blurRad="50800" dist="38100" algn="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 page'!$E$10:$E$20</c:f>
              <c:numCache>
                <c:formatCode>General</c:formatCode>
                <c:ptCount val="11"/>
                <c:pt idx="0">
                  <c:v>1213</c:v>
                </c:pt>
                <c:pt idx="1">
                  <c:v>1246</c:v>
                </c:pt>
                <c:pt idx="2">
                  <c:v>1286</c:v>
                </c:pt>
                <c:pt idx="3">
                  <c:v>1291</c:v>
                </c:pt>
                <c:pt idx="4">
                  <c:v>1308</c:v>
                </c:pt>
                <c:pt idx="5">
                  <c:v>1314</c:v>
                </c:pt>
                <c:pt idx="6">
                  <c:v>1326</c:v>
                </c:pt>
                <c:pt idx="7">
                  <c:v>1334</c:v>
                </c:pt>
                <c:pt idx="8">
                  <c:v>1340</c:v>
                </c:pt>
                <c:pt idx="9">
                  <c:v>1362</c:v>
                </c:pt>
                <c:pt idx="10">
                  <c:v>1371</c:v>
                </c:pt>
              </c:numCache>
            </c:numRef>
          </c:cat>
          <c:val>
            <c:numRef>
              <c:f>'Analysis page'!$F$10:$F$20</c:f>
              <c:numCache>
                <c:formatCode>General</c:formatCode>
                <c:ptCount val="11"/>
                <c:pt idx="0">
                  <c:v>6</c:v>
                </c:pt>
                <c:pt idx="1">
                  <c:v>5</c:v>
                </c:pt>
                <c:pt idx="2">
                  <c:v>6</c:v>
                </c:pt>
                <c:pt idx="3">
                  <c:v>6</c:v>
                </c:pt>
                <c:pt idx="4">
                  <c:v>5</c:v>
                </c:pt>
                <c:pt idx="5">
                  <c:v>6</c:v>
                </c:pt>
                <c:pt idx="6">
                  <c:v>5</c:v>
                </c:pt>
                <c:pt idx="7">
                  <c:v>5</c:v>
                </c:pt>
                <c:pt idx="8">
                  <c:v>5</c:v>
                </c:pt>
                <c:pt idx="9">
                  <c:v>5</c:v>
                </c:pt>
                <c:pt idx="10">
                  <c:v>5</c:v>
                </c:pt>
              </c:numCache>
            </c:numRef>
          </c:val>
          <c:extLst>
            <c:ext xmlns:c16="http://schemas.microsoft.com/office/drawing/2014/chart" uri="{C3380CC4-5D6E-409C-BE32-E72D297353CC}">
              <c16:uniqueId val="{00000000-F5D7-43A5-B472-AE8EB832DB95}"/>
            </c:ext>
          </c:extLst>
        </c:ser>
        <c:dLbls>
          <c:dLblPos val="outEnd"/>
          <c:showLegendKey val="0"/>
          <c:showVal val="1"/>
          <c:showCatName val="0"/>
          <c:showSerName val="0"/>
          <c:showPercent val="0"/>
          <c:showBubbleSize val="0"/>
        </c:dLbls>
        <c:gapWidth val="30"/>
        <c:axId val="439438720"/>
        <c:axId val="439443040"/>
      </c:barChart>
      <c:catAx>
        <c:axId val="439438720"/>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439443040"/>
        <c:crosses val="autoZero"/>
        <c:auto val="1"/>
        <c:lblAlgn val="ctr"/>
        <c:lblOffset val="100"/>
        <c:noMultiLvlLbl val="0"/>
      </c:catAx>
      <c:valAx>
        <c:axId val="439443040"/>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4394387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Top</a:t>
            </a:r>
            <a:r>
              <a:rPr lang="en-US" sz="2000" b="1" baseline="0">
                <a:solidFill>
                  <a:schemeClr val="tx1"/>
                </a:solidFill>
              </a:rPr>
              <a:t> 10 best products by Reviews</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 page'!$I$9</c:f>
              <c:strCache>
                <c:ptCount val="1"/>
                <c:pt idx="0">
                  <c:v>Reviews</c:v>
                </c:pt>
              </c:strCache>
            </c:strRef>
          </c:tx>
          <c:spPr>
            <a:solidFill>
              <a:schemeClr val="accent2"/>
            </a:solidFill>
            <a:ln>
              <a:solidFill>
                <a:schemeClr val="accent6"/>
              </a:solidFill>
            </a:ln>
            <a:effectLst>
              <a:outerShdw blurRad="50800" dist="38100" algn="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 page'!$H$10:$H$19</c:f>
              <c:numCache>
                <c:formatCode>General</c:formatCode>
                <c:ptCount val="10"/>
                <c:pt idx="0">
                  <c:v>1253</c:v>
                </c:pt>
                <c:pt idx="1">
                  <c:v>1254</c:v>
                </c:pt>
                <c:pt idx="2">
                  <c:v>1258</c:v>
                </c:pt>
                <c:pt idx="3">
                  <c:v>1259</c:v>
                </c:pt>
                <c:pt idx="4">
                  <c:v>1273</c:v>
                </c:pt>
                <c:pt idx="5">
                  <c:v>1415</c:v>
                </c:pt>
                <c:pt idx="6">
                  <c:v>1430</c:v>
                </c:pt>
                <c:pt idx="7">
                  <c:v>1432</c:v>
                </c:pt>
                <c:pt idx="8">
                  <c:v>1434</c:v>
                </c:pt>
                <c:pt idx="9">
                  <c:v>1439</c:v>
                </c:pt>
              </c:numCache>
            </c:numRef>
          </c:cat>
          <c:val>
            <c:numRef>
              <c:f>'Analysis page'!$I$10:$I$19</c:f>
              <c:numCache>
                <c:formatCode>General</c:formatCode>
                <c:ptCount val="10"/>
                <c:pt idx="0">
                  <c:v>353</c:v>
                </c:pt>
                <c:pt idx="1">
                  <c:v>321</c:v>
                </c:pt>
                <c:pt idx="2">
                  <c:v>686</c:v>
                </c:pt>
                <c:pt idx="3">
                  <c:v>725</c:v>
                </c:pt>
                <c:pt idx="4">
                  <c:v>527</c:v>
                </c:pt>
                <c:pt idx="5">
                  <c:v>628</c:v>
                </c:pt>
                <c:pt idx="6">
                  <c:v>641</c:v>
                </c:pt>
                <c:pt idx="7">
                  <c:v>248</c:v>
                </c:pt>
                <c:pt idx="8">
                  <c:v>494</c:v>
                </c:pt>
                <c:pt idx="9">
                  <c:v>294</c:v>
                </c:pt>
              </c:numCache>
            </c:numRef>
          </c:val>
          <c:extLst>
            <c:ext xmlns:c16="http://schemas.microsoft.com/office/drawing/2014/chart" uri="{C3380CC4-5D6E-409C-BE32-E72D297353CC}">
              <c16:uniqueId val="{00000000-B939-4873-8FA5-39FAD2050F2E}"/>
            </c:ext>
          </c:extLst>
        </c:ser>
        <c:dLbls>
          <c:dLblPos val="outEnd"/>
          <c:showLegendKey val="0"/>
          <c:showVal val="1"/>
          <c:showCatName val="0"/>
          <c:showSerName val="0"/>
          <c:showPercent val="0"/>
          <c:showBubbleSize val="0"/>
        </c:dLbls>
        <c:gapWidth val="30"/>
        <c:axId val="535310320"/>
        <c:axId val="535308880"/>
      </c:barChart>
      <c:catAx>
        <c:axId val="535310320"/>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535308880"/>
        <c:crosses val="autoZero"/>
        <c:auto val="1"/>
        <c:lblAlgn val="ctr"/>
        <c:lblOffset val="100"/>
        <c:noMultiLvlLbl val="0"/>
      </c:catAx>
      <c:valAx>
        <c:axId val="535308880"/>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535310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baseline="0">
                <a:solidFill>
                  <a:schemeClr val="tx1">
                    <a:lumMod val="65000"/>
                    <a:lumOff val="35000"/>
                  </a:schemeClr>
                </a:solidFill>
                <a:latin typeface="+mn-lt"/>
                <a:ea typeface="+mn-ea"/>
                <a:cs typeface="+mn-cs"/>
              </a:defRPr>
            </a:pPr>
            <a:r>
              <a:rPr lang="en-US" sz="1600" b="1">
                <a:solidFill>
                  <a:schemeClr val="tx1"/>
                </a:solidFill>
              </a:rPr>
              <a:t>Contribution</a:t>
            </a:r>
            <a:r>
              <a:rPr lang="en-US" sz="1600" b="1" baseline="0">
                <a:solidFill>
                  <a:schemeClr val="tx1"/>
                </a:solidFill>
              </a:rPr>
              <a:t> of each city in Discount%</a:t>
            </a:r>
            <a:endParaRPr lang="en-US" sz="1600" b="1">
              <a:solidFill>
                <a:schemeClr val="tx1"/>
              </a:solidFill>
            </a:endParaRPr>
          </a:p>
        </c:rich>
      </c:tx>
      <c:layout>
        <c:manualLayout>
          <c:xMode val="edge"/>
          <c:yMode val="edge"/>
          <c:x val="4.6569335083114616E-2"/>
          <c:y val="2.238806233259635E-2"/>
        </c:manualLayout>
      </c:layout>
      <c:overlay val="0"/>
      <c:spPr>
        <a:noFill/>
        <a:ln>
          <a:noFill/>
        </a:ln>
        <a:effectLst/>
      </c:spPr>
      <c:txPr>
        <a:bodyPr rot="0" spcFirstLastPara="1" vertOverflow="ellipsis" vert="horz" wrap="square" anchor="ctr" anchorCtr="1"/>
        <a:lstStyle/>
        <a:p>
          <a:pPr>
            <a:defRPr sz="1600" b="0" i="0" u="none" strike="noStrike"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'Analysis page'!$L$1</c:f>
              <c:strCache>
                <c:ptCount val="1"/>
                <c:pt idx="0">
                  <c:v>Discount Percentage</c:v>
                </c:pt>
              </c:strCache>
            </c:strRef>
          </c:tx>
          <c:spPr>
            <a:ln>
              <a:solidFill>
                <a:schemeClr val="accent6"/>
              </a:solidFill>
            </a:ln>
            <a:effectLst>
              <a:outerShdw blurRad="50800" dist="38100" algn="l" rotWithShape="0">
                <a:prstClr val="black">
                  <a:alpha val="40000"/>
                </a:prstClr>
              </a:outerShdw>
            </a:effectLst>
          </c:spPr>
          <c:dPt>
            <c:idx val="0"/>
            <c:bubble3D val="0"/>
            <c:spPr>
              <a:solidFill>
                <a:schemeClr val="accent1"/>
              </a:solidFill>
              <a:ln>
                <a:solidFill>
                  <a:schemeClr val="accent6"/>
                </a:solidFill>
              </a:ln>
              <a:effectLst>
                <a:outerShdw blurRad="50800" dist="38100" algn="l" rotWithShape="0">
                  <a:prstClr val="black">
                    <a:alpha val="40000"/>
                  </a:prstClr>
                </a:outerShdw>
              </a:effectLst>
            </c:spPr>
            <c:extLst>
              <c:ext xmlns:c16="http://schemas.microsoft.com/office/drawing/2014/chart" uri="{C3380CC4-5D6E-409C-BE32-E72D297353CC}">
                <c16:uniqueId val="{00000001-C06A-43EC-A456-1D5E4A9E0C47}"/>
              </c:ext>
            </c:extLst>
          </c:dPt>
          <c:dPt>
            <c:idx val="1"/>
            <c:bubble3D val="0"/>
            <c:spPr>
              <a:solidFill>
                <a:schemeClr val="accent2">
                  <a:lumMod val="75000"/>
                </a:schemeClr>
              </a:solidFill>
              <a:ln>
                <a:solidFill>
                  <a:schemeClr val="accent6"/>
                </a:solidFill>
              </a:ln>
              <a:effectLst>
                <a:outerShdw blurRad="50800" dist="38100" algn="l" rotWithShape="0">
                  <a:prstClr val="black">
                    <a:alpha val="40000"/>
                  </a:prstClr>
                </a:outerShdw>
              </a:effectLst>
            </c:spPr>
            <c:extLst>
              <c:ext xmlns:c16="http://schemas.microsoft.com/office/drawing/2014/chart" uri="{C3380CC4-5D6E-409C-BE32-E72D297353CC}">
                <c16:uniqueId val="{00000003-C06A-43EC-A456-1D5E4A9E0C47}"/>
              </c:ext>
            </c:extLst>
          </c:dPt>
          <c:dPt>
            <c:idx val="2"/>
            <c:bubble3D val="0"/>
            <c:spPr>
              <a:solidFill>
                <a:schemeClr val="accent6">
                  <a:lumMod val="60000"/>
                  <a:lumOff val="40000"/>
                </a:schemeClr>
              </a:solidFill>
              <a:ln>
                <a:solidFill>
                  <a:schemeClr val="accent6"/>
                </a:solidFill>
              </a:ln>
              <a:effectLst>
                <a:outerShdw blurRad="50800" dist="38100" algn="l" rotWithShape="0">
                  <a:prstClr val="black">
                    <a:alpha val="40000"/>
                  </a:prstClr>
                </a:outerShdw>
              </a:effectLst>
            </c:spPr>
            <c:extLst>
              <c:ext xmlns:c16="http://schemas.microsoft.com/office/drawing/2014/chart" uri="{C3380CC4-5D6E-409C-BE32-E72D297353CC}">
                <c16:uniqueId val="{00000005-C06A-43EC-A456-1D5E4A9E0C47}"/>
              </c:ext>
            </c:extLst>
          </c:dPt>
          <c:dPt>
            <c:idx val="3"/>
            <c:bubble3D val="0"/>
            <c:spPr>
              <a:solidFill>
                <a:schemeClr val="accent2"/>
              </a:solidFill>
              <a:ln>
                <a:solidFill>
                  <a:schemeClr val="accent6"/>
                </a:solidFill>
              </a:ln>
              <a:effectLst>
                <a:outerShdw blurRad="50800" dist="38100" algn="l" rotWithShape="0">
                  <a:prstClr val="black">
                    <a:alpha val="40000"/>
                  </a:prstClr>
                </a:outerShdw>
              </a:effectLst>
            </c:spPr>
            <c:extLst>
              <c:ext xmlns:c16="http://schemas.microsoft.com/office/drawing/2014/chart" uri="{C3380CC4-5D6E-409C-BE32-E72D297353CC}">
                <c16:uniqueId val="{00000007-C06A-43EC-A456-1D5E4A9E0C47}"/>
              </c:ext>
            </c:extLst>
          </c:dPt>
          <c:dPt>
            <c:idx val="4"/>
            <c:bubble3D val="0"/>
            <c:spPr>
              <a:solidFill>
                <a:schemeClr val="accent2">
                  <a:lumMod val="50000"/>
                </a:schemeClr>
              </a:solidFill>
              <a:ln>
                <a:solidFill>
                  <a:schemeClr val="accent6"/>
                </a:solidFill>
              </a:ln>
              <a:effectLst>
                <a:outerShdw blurRad="50800" dist="38100" algn="l" rotWithShape="0">
                  <a:prstClr val="black">
                    <a:alpha val="40000"/>
                  </a:prstClr>
                </a:outerShdw>
              </a:effectLst>
            </c:spPr>
            <c:extLst>
              <c:ext xmlns:c16="http://schemas.microsoft.com/office/drawing/2014/chart" uri="{C3380CC4-5D6E-409C-BE32-E72D297353CC}">
                <c16:uniqueId val="{00000009-C06A-43EC-A456-1D5E4A9E0C47}"/>
              </c:ext>
            </c:extLst>
          </c:dPt>
          <c:dLbls>
            <c:dLbl>
              <c:idx val="0"/>
              <c:layout>
                <c:manualLayout>
                  <c:x val="-7.7777777777777779E-2"/>
                  <c:y val="-3.703703703703705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6A-43EC-A456-1D5E4A9E0C47}"/>
                </c:ext>
              </c:extLst>
            </c:dLbl>
            <c:dLbl>
              <c:idx val="1"/>
              <c:layout>
                <c:manualLayout>
                  <c:x val="1.6666666666666666E-2"/>
                  <c:y val="-2.390833516374840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06A-43EC-A456-1D5E4A9E0C47}"/>
                </c:ext>
              </c:extLst>
            </c:dLbl>
            <c:dLbl>
              <c:idx val="2"/>
              <c:layout>
                <c:manualLayout>
                  <c:x val="9.1666666666666563E-2"/>
                  <c:y val="-1.388888888888891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06A-43EC-A456-1D5E4A9E0C47}"/>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page'!$K$2:$K$6</c:f>
              <c:strCache>
                <c:ptCount val="5"/>
                <c:pt idx="0">
                  <c:v>Sindh</c:v>
                </c:pt>
                <c:pt idx="1">
                  <c:v>Punjab</c:v>
                </c:pt>
                <c:pt idx="2">
                  <c:v>Khyber Pakhtunkhwa</c:v>
                </c:pt>
                <c:pt idx="3">
                  <c:v>Islamabad</c:v>
                </c:pt>
                <c:pt idx="4">
                  <c:v>Azad Kashmir</c:v>
                </c:pt>
              </c:strCache>
            </c:strRef>
          </c:cat>
          <c:val>
            <c:numRef>
              <c:f>'Analysis page'!$L$2:$L$6</c:f>
              <c:numCache>
                <c:formatCode>0.00%</c:formatCode>
                <c:ptCount val="5"/>
                <c:pt idx="0">
                  <c:v>4.1740674955594997E-3</c:v>
                </c:pt>
                <c:pt idx="1">
                  <c:v>9.9467140319715805E-3</c:v>
                </c:pt>
                <c:pt idx="2">
                  <c:v>2.6731793960923622E-2</c:v>
                </c:pt>
                <c:pt idx="3">
                  <c:v>0.77300177619893429</c:v>
                </c:pt>
                <c:pt idx="4">
                  <c:v>0.18614564831261102</c:v>
                </c:pt>
              </c:numCache>
            </c:numRef>
          </c:val>
          <c:extLst>
            <c:ext xmlns:c16="http://schemas.microsoft.com/office/drawing/2014/chart" uri="{C3380CC4-5D6E-409C-BE32-E72D297353CC}">
              <c16:uniqueId val="{0000000A-C06A-43EC-A456-1D5E4A9E0C47}"/>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10</a:t>
            </a:r>
            <a:r>
              <a:rPr lang="en-US" sz="1800" b="1" baseline="0">
                <a:solidFill>
                  <a:schemeClr val="tx1"/>
                </a:solidFill>
              </a:rPr>
              <a:t> Worst Products By reviews</a:t>
            </a:r>
            <a:endParaRPr lang="en-US" sz="1800" b="1">
              <a:solidFill>
                <a:schemeClr val="tx1"/>
              </a:solidFill>
            </a:endParaRPr>
          </a:p>
        </c:rich>
      </c:tx>
      <c:layout>
        <c:manualLayout>
          <c:xMode val="edge"/>
          <c:yMode val="edge"/>
          <c:x val="0.16048381719058127"/>
          <c:y val="2.66666666666666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87683854326086"/>
          <c:y val="0.14406684164479441"/>
          <c:w val="0.85636382615399875"/>
          <c:h val="0.74585861767279094"/>
        </c:manualLayout>
      </c:layout>
      <c:barChart>
        <c:barDir val="col"/>
        <c:grouping val="clustered"/>
        <c:varyColors val="0"/>
        <c:ser>
          <c:idx val="0"/>
          <c:order val="0"/>
          <c:tx>
            <c:strRef>
              <c:f>'Analysis page'!$L$9</c:f>
              <c:strCache>
                <c:ptCount val="1"/>
                <c:pt idx="0">
                  <c:v>Reviews</c:v>
                </c:pt>
              </c:strCache>
            </c:strRef>
          </c:tx>
          <c:spPr>
            <a:solidFill>
              <a:schemeClr val="accent2"/>
            </a:solidFill>
            <a:ln>
              <a:solidFill>
                <a:schemeClr val="accent6"/>
              </a:solidFill>
            </a:ln>
            <a:effectLst>
              <a:outerShdw blurRad="50800" dist="38100" algn="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 page'!$K$10:$K$19</c:f>
              <c:numCache>
                <c:formatCode>General</c:formatCode>
                <c:ptCount val="10"/>
                <c:pt idx="0">
                  <c:v>1234</c:v>
                </c:pt>
                <c:pt idx="1">
                  <c:v>1237</c:v>
                </c:pt>
                <c:pt idx="2">
                  <c:v>1241</c:v>
                </c:pt>
                <c:pt idx="3">
                  <c:v>1261</c:v>
                </c:pt>
                <c:pt idx="4">
                  <c:v>1404</c:v>
                </c:pt>
                <c:pt idx="5">
                  <c:v>1406</c:v>
                </c:pt>
                <c:pt idx="6">
                  <c:v>1410</c:v>
                </c:pt>
                <c:pt idx="7">
                  <c:v>1411</c:v>
                </c:pt>
                <c:pt idx="8">
                  <c:v>1436</c:v>
                </c:pt>
                <c:pt idx="9">
                  <c:v>1441</c:v>
                </c:pt>
              </c:numCache>
            </c:numRef>
          </c:cat>
          <c:val>
            <c:numRef>
              <c:f>'Analysis page'!$L$10:$L$19</c:f>
              <c:numCache>
                <c:formatCode>General</c:formatCode>
                <c:ptCount val="10"/>
                <c:pt idx="0">
                  <c:v>1</c:v>
                </c:pt>
                <c:pt idx="1">
                  <c:v>1</c:v>
                </c:pt>
                <c:pt idx="2">
                  <c:v>1</c:v>
                </c:pt>
                <c:pt idx="3">
                  <c:v>0</c:v>
                </c:pt>
                <c:pt idx="4">
                  <c:v>1</c:v>
                </c:pt>
                <c:pt idx="5">
                  <c:v>1</c:v>
                </c:pt>
                <c:pt idx="6">
                  <c:v>1</c:v>
                </c:pt>
                <c:pt idx="7">
                  <c:v>1</c:v>
                </c:pt>
                <c:pt idx="8">
                  <c:v>0</c:v>
                </c:pt>
                <c:pt idx="9">
                  <c:v>0</c:v>
                </c:pt>
              </c:numCache>
            </c:numRef>
          </c:val>
          <c:extLst>
            <c:ext xmlns:c16="http://schemas.microsoft.com/office/drawing/2014/chart" uri="{C3380CC4-5D6E-409C-BE32-E72D297353CC}">
              <c16:uniqueId val="{00000000-0039-4699-8211-B185499B072A}"/>
            </c:ext>
          </c:extLst>
        </c:ser>
        <c:dLbls>
          <c:dLblPos val="outEnd"/>
          <c:showLegendKey val="0"/>
          <c:showVal val="1"/>
          <c:showCatName val="0"/>
          <c:showSerName val="0"/>
          <c:showPercent val="0"/>
          <c:showBubbleSize val="0"/>
        </c:dLbls>
        <c:gapWidth val="20"/>
        <c:axId val="309479680"/>
        <c:axId val="309467200"/>
      </c:barChart>
      <c:catAx>
        <c:axId val="309479680"/>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309467200"/>
        <c:crosses val="autoZero"/>
        <c:auto val="1"/>
        <c:lblAlgn val="ctr"/>
        <c:lblOffset val="100"/>
        <c:noMultiLvlLbl val="0"/>
      </c:catAx>
      <c:valAx>
        <c:axId val="309467200"/>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309479680"/>
        <c:crosses val="autoZero"/>
        <c:crossBetween val="between"/>
      </c:valAx>
      <c:spPr>
        <a:noFill/>
        <a:ln>
          <a:solidFill>
            <a:schemeClr val="accent6"/>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plotArea>
      <cx:plotAreaRegion>
        <cx:series layoutId="boxWhisker" uniqueId="{8485524D-7821-47E5-B07E-63C6F0ABCEA5}">
          <cx:tx>
            <cx:txData>
              <cx:f>_xlchart.v1.0</cx:f>
              <cx:v>Revenue</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plotArea>
      <cx:plotAreaRegion>
        <cx:series layoutId="boxWhisker" uniqueId="{F7F1E875-F67D-4FE7-843E-676F9F3CDCCD}">
          <cx:tx>
            <cx:txData>
              <cx:f>_xlchart.v1.2</cx:f>
              <cx:v>Price (PKR)</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plotArea>
      <cx:plotAreaRegion>
        <cx:series layoutId="boxWhisker" uniqueId="{FE509ED4-14CE-4C3C-817B-7F27433BFE9B}">
          <cx:tx>
            <cx:txData>
              <cx:f>_xlchart.v1.4</cx:f>
              <cx:v>Number Sold</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hyperlink" Target="#'Analysis Dashboard'!A1"/><Relationship Id="rId5" Type="http://schemas.openxmlformats.org/officeDocument/2006/relationships/chart" Target="../charts/chart15.xml"/><Relationship Id="rId4"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hyperlink" Target="#Dashboard!A1"/><Relationship Id="rId5" Type="http://schemas.openxmlformats.org/officeDocument/2006/relationships/chart" Target="../charts/chart20.xml"/><Relationship Id="rId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14</xdr:col>
      <xdr:colOff>186532</xdr:colOff>
      <xdr:row>0</xdr:row>
      <xdr:rowOff>103188</xdr:rowOff>
    </xdr:from>
    <xdr:to>
      <xdr:col>21</xdr:col>
      <xdr:colOff>480219</xdr:colOff>
      <xdr:row>8</xdr:row>
      <xdr:rowOff>508000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A9B08682-1A57-1F70-CD05-567A4BF541A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1909882" y="103188"/>
              <a:ext cx="4560887" cy="354171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0</xdr:colOff>
      <xdr:row>8</xdr:row>
      <xdr:rowOff>658812</xdr:rowOff>
    </xdr:from>
    <xdr:to>
      <xdr:col>17</xdr:col>
      <xdr:colOff>99218</xdr:colOff>
      <xdr:row>16</xdr:row>
      <xdr:rowOff>105568</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CA23370E-62CE-E1F6-E90A-02C956D77F6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9640550" y="3795712"/>
              <a:ext cx="4010818" cy="368220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559593</xdr:colOff>
      <xdr:row>0</xdr:row>
      <xdr:rowOff>76992</xdr:rowOff>
    </xdr:from>
    <xdr:to>
      <xdr:col>29</xdr:col>
      <xdr:colOff>242093</xdr:colOff>
      <xdr:row>8</xdr:row>
      <xdr:rowOff>436561</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0A9DEEC7-7863-A46F-892A-854A6AB485F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6550143" y="76992"/>
              <a:ext cx="4559300" cy="349646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18</xdr:col>
      <xdr:colOff>142874</xdr:colOff>
      <xdr:row>15</xdr:row>
      <xdr:rowOff>139700</xdr:rowOff>
    </xdr:from>
    <xdr:to>
      <xdr:col>33</xdr:col>
      <xdr:colOff>76200</xdr:colOff>
      <xdr:row>30</xdr:row>
      <xdr:rowOff>120650</xdr:rowOff>
    </xdr:to>
    <xdr:graphicFrame macro="">
      <xdr:nvGraphicFramePr>
        <xdr:cNvPr id="2" name="Chart 1">
          <a:extLst>
            <a:ext uri="{FF2B5EF4-FFF2-40B4-BE49-F238E27FC236}">
              <a16:creationId xmlns:a16="http://schemas.microsoft.com/office/drawing/2014/main" id="{73349B02-54E1-3E73-BFF6-7F4779F164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127000</xdr:colOff>
      <xdr:row>0</xdr:row>
      <xdr:rowOff>107950</xdr:rowOff>
    </xdr:from>
    <xdr:to>
      <xdr:col>33</xdr:col>
      <xdr:colOff>88900</xdr:colOff>
      <xdr:row>15</xdr:row>
      <xdr:rowOff>76200</xdr:rowOff>
    </xdr:to>
    <xdr:graphicFrame macro="">
      <xdr:nvGraphicFramePr>
        <xdr:cNvPr id="5" name="Chart 4">
          <a:extLst>
            <a:ext uri="{FF2B5EF4-FFF2-40B4-BE49-F238E27FC236}">
              <a16:creationId xmlns:a16="http://schemas.microsoft.com/office/drawing/2014/main" id="{05A8EE0E-C055-05EC-F471-8613118245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0</xdr:col>
      <xdr:colOff>603250</xdr:colOff>
      <xdr:row>6</xdr:row>
      <xdr:rowOff>88900</xdr:rowOff>
    </xdr:from>
    <xdr:ext cx="2679700" cy="298450"/>
    <xdr:sp macro="" textlink="">
      <xdr:nvSpPr>
        <xdr:cNvPr id="6" name="TextBox 5">
          <a:extLst>
            <a:ext uri="{FF2B5EF4-FFF2-40B4-BE49-F238E27FC236}">
              <a16:creationId xmlns:a16="http://schemas.microsoft.com/office/drawing/2014/main" id="{CBA30A13-0566-6A43-9A1B-107BCCF17DE0}"/>
            </a:ext>
          </a:extLst>
        </xdr:cNvPr>
        <xdr:cNvSpPr txBox="1"/>
      </xdr:nvSpPr>
      <xdr:spPr>
        <a:xfrm>
          <a:off x="603250" y="1206500"/>
          <a:ext cx="2679700" cy="298450"/>
        </a:xfrm>
        <a:prstGeom prst="rect">
          <a:avLst/>
        </a:prstGeom>
        <a:solidFill>
          <a:srgbClr val="00B05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a:solidFill>
                <a:schemeClr val="tx1">
                  <a:lumMod val="75000"/>
                  <a:lumOff val="25000"/>
                </a:schemeClr>
              </a:solidFill>
            </a:rPr>
            <a:t>Top 10 Products b</a:t>
          </a:r>
          <a:r>
            <a:rPr lang="en-US" sz="1600" b="1" baseline="0">
              <a:solidFill>
                <a:schemeClr val="tx1">
                  <a:lumMod val="75000"/>
                  <a:lumOff val="25000"/>
                </a:schemeClr>
              </a:solidFill>
            </a:rPr>
            <a:t>y Quantity</a:t>
          </a:r>
          <a:endParaRPr lang="en-US" sz="1600" b="1">
            <a:solidFill>
              <a:schemeClr val="tx1">
                <a:lumMod val="75000"/>
                <a:lumOff val="25000"/>
              </a:schemeClr>
            </a:solidFill>
          </a:endParaRPr>
        </a:p>
      </xdr:txBody>
    </xdr:sp>
    <xdr:clientData/>
  </xdr:oneCellAnchor>
  <xdr:oneCellAnchor>
    <xdr:from>
      <xdr:col>3</xdr:col>
      <xdr:colOff>546100</xdr:colOff>
      <xdr:row>6</xdr:row>
      <xdr:rowOff>88900</xdr:rowOff>
    </xdr:from>
    <xdr:ext cx="2901950" cy="302660"/>
    <xdr:sp macro="" textlink="">
      <xdr:nvSpPr>
        <xdr:cNvPr id="7" name="TextBox 6">
          <a:extLst>
            <a:ext uri="{FF2B5EF4-FFF2-40B4-BE49-F238E27FC236}">
              <a16:creationId xmlns:a16="http://schemas.microsoft.com/office/drawing/2014/main" id="{541565B4-64D0-4F98-9265-457324547FD0}"/>
            </a:ext>
          </a:extLst>
        </xdr:cNvPr>
        <xdr:cNvSpPr txBox="1"/>
      </xdr:nvSpPr>
      <xdr:spPr>
        <a:xfrm>
          <a:off x="3822700" y="1206500"/>
          <a:ext cx="2901950" cy="302660"/>
        </a:xfrm>
        <a:prstGeom prst="rect">
          <a:avLst/>
        </a:prstGeom>
        <a:solidFill>
          <a:srgbClr val="00B05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a:t>Bottom</a:t>
          </a:r>
          <a:r>
            <a:rPr lang="en-US" sz="1600" b="1" baseline="0"/>
            <a:t> 10 Products by quantity</a:t>
          </a:r>
          <a:endParaRPr lang="en-US" sz="1600" b="1"/>
        </a:p>
      </xdr:txBody>
    </xdr:sp>
    <xdr:clientData/>
  </xdr:oneCellAnchor>
  <xdr:oneCellAnchor>
    <xdr:from>
      <xdr:col>7</xdr:col>
      <xdr:colOff>6350</xdr:colOff>
      <xdr:row>6</xdr:row>
      <xdr:rowOff>82550</xdr:rowOff>
    </xdr:from>
    <xdr:ext cx="1866900" cy="302660"/>
    <xdr:sp macro="" textlink="">
      <xdr:nvSpPr>
        <xdr:cNvPr id="8" name="TextBox 7">
          <a:extLst>
            <a:ext uri="{FF2B5EF4-FFF2-40B4-BE49-F238E27FC236}">
              <a16:creationId xmlns:a16="http://schemas.microsoft.com/office/drawing/2014/main" id="{84A3AE89-C866-5D75-7E30-FBCFC3ECB8DC}"/>
            </a:ext>
          </a:extLst>
        </xdr:cNvPr>
        <xdr:cNvSpPr txBox="1"/>
      </xdr:nvSpPr>
      <xdr:spPr>
        <a:xfrm>
          <a:off x="7340600" y="1200150"/>
          <a:ext cx="1866900" cy="302660"/>
        </a:xfrm>
        <a:prstGeom prst="rect">
          <a:avLst/>
        </a:prstGeom>
        <a:solidFill>
          <a:srgbClr val="00B05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600" b="1"/>
            <a:t>Top 10</a:t>
          </a:r>
          <a:r>
            <a:rPr lang="en-US" sz="1600" b="1" baseline="0"/>
            <a:t> Products</a:t>
          </a:r>
          <a:endParaRPr lang="en-US" sz="1600" b="1"/>
        </a:p>
      </xdr:txBody>
    </xdr:sp>
    <xdr:clientData/>
  </xdr:oneCellAnchor>
  <xdr:oneCellAnchor>
    <xdr:from>
      <xdr:col>10</xdr:col>
      <xdr:colOff>6350</xdr:colOff>
      <xdr:row>6</xdr:row>
      <xdr:rowOff>76200</xdr:rowOff>
    </xdr:from>
    <xdr:ext cx="2628900" cy="342786"/>
    <xdr:sp macro="" textlink="">
      <xdr:nvSpPr>
        <xdr:cNvPr id="9" name="TextBox 8">
          <a:extLst>
            <a:ext uri="{FF2B5EF4-FFF2-40B4-BE49-F238E27FC236}">
              <a16:creationId xmlns:a16="http://schemas.microsoft.com/office/drawing/2014/main" id="{5E4A7384-5D58-50E9-A0EB-7EA87914C619}"/>
            </a:ext>
          </a:extLst>
        </xdr:cNvPr>
        <xdr:cNvSpPr txBox="1"/>
      </xdr:nvSpPr>
      <xdr:spPr>
        <a:xfrm>
          <a:off x="9817100" y="1193800"/>
          <a:ext cx="2628900" cy="342786"/>
        </a:xfrm>
        <a:prstGeom prst="rect">
          <a:avLst/>
        </a:prstGeom>
        <a:solidFill>
          <a:srgbClr val="00B05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600" b="1"/>
            <a:t>Bottom 10 Products</a:t>
          </a:r>
        </a:p>
      </xdr:txBody>
    </xdr:sp>
    <xdr:clientData/>
  </xdr:oneCellAnchor>
  <xdr:twoCellAnchor>
    <xdr:from>
      <xdr:col>33</xdr:col>
      <xdr:colOff>161925</xdr:colOff>
      <xdr:row>0</xdr:row>
      <xdr:rowOff>133350</xdr:rowOff>
    </xdr:from>
    <xdr:to>
      <xdr:col>40</xdr:col>
      <xdr:colOff>466725</xdr:colOff>
      <xdr:row>15</xdr:row>
      <xdr:rowOff>88900</xdr:rowOff>
    </xdr:to>
    <xdr:graphicFrame macro="">
      <xdr:nvGraphicFramePr>
        <xdr:cNvPr id="10" name="Chart 9">
          <a:extLst>
            <a:ext uri="{FF2B5EF4-FFF2-40B4-BE49-F238E27FC236}">
              <a16:creationId xmlns:a16="http://schemas.microsoft.com/office/drawing/2014/main" id="{A52712E6-D239-2097-DE61-84A1366114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33</xdr:col>
      <xdr:colOff>177801</xdr:colOff>
      <xdr:row>15</xdr:row>
      <xdr:rowOff>146050</xdr:rowOff>
    </xdr:from>
    <xdr:to>
      <xdr:col>40</xdr:col>
      <xdr:colOff>488951</xdr:colOff>
      <xdr:row>30</xdr:row>
      <xdr:rowOff>127000</xdr:rowOff>
    </xdr:to>
    <xdr:graphicFrame macro="">
      <xdr:nvGraphicFramePr>
        <xdr:cNvPr id="14" name="Chart 13">
          <a:extLst>
            <a:ext uri="{FF2B5EF4-FFF2-40B4-BE49-F238E27FC236}">
              <a16:creationId xmlns:a16="http://schemas.microsoft.com/office/drawing/2014/main" id="{EB476757-F942-37AD-7044-8291348FA3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549275</xdr:colOff>
      <xdr:row>21</xdr:row>
      <xdr:rowOff>12700</xdr:rowOff>
    </xdr:from>
    <xdr:to>
      <xdr:col>4</xdr:col>
      <xdr:colOff>423333</xdr:colOff>
      <xdr:row>36</xdr:row>
      <xdr:rowOff>2117</xdr:rowOff>
    </xdr:to>
    <xdr:graphicFrame macro="">
      <xdr:nvGraphicFramePr>
        <xdr:cNvPr id="15" name="Chart 14">
          <a:extLst>
            <a:ext uri="{FF2B5EF4-FFF2-40B4-BE49-F238E27FC236}">
              <a16:creationId xmlns:a16="http://schemas.microsoft.com/office/drawing/2014/main" id="{A82A7907-F390-A8CC-216A-B65D52787C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502708</xdr:colOff>
      <xdr:row>21</xdr:row>
      <xdr:rowOff>14817</xdr:rowOff>
    </xdr:from>
    <xdr:to>
      <xdr:col>9</xdr:col>
      <xdr:colOff>10584</xdr:colOff>
      <xdr:row>36</xdr:row>
      <xdr:rowOff>59267</xdr:rowOff>
    </xdr:to>
    <xdr:graphicFrame macro="">
      <xdr:nvGraphicFramePr>
        <xdr:cNvPr id="19" name="Chart 18">
          <a:extLst>
            <a:ext uri="{FF2B5EF4-FFF2-40B4-BE49-F238E27FC236}">
              <a16:creationId xmlns:a16="http://schemas.microsoft.com/office/drawing/2014/main" id="{7E2CB8A8-04B5-B377-D766-6CE7C61EDD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58209</xdr:colOff>
      <xdr:row>20</xdr:row>
      <xdr:rowOff>137583</xdr:rowOff>
    </xdr:from>
    <xdr:to>
      <xdr:col>12</xdr:col>
      <xdr:colOff>476250</xdr:colOff>
      <xdr:row>40</xdr:row>
      <xdr:rowOff>6350</xdr:rowOff>
    </xdr:to>
    <xdr:graphicFrame macro="">
      <xdr:nvGraphicFramePr>
        <xdr:cNvPr id="23" name="Chart 22">
          <a:extLst>
            <a:ext uri="{FF2B5EF4-FFF2-40B4-BE49-F238E27FC236}">
              <a16:creationId xmlns:a16="http://schemas.microsoft.com/office/drawing/2014/main" id="{4D403C35-CE82-CD81-C27A-9831586F6F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216958</xdr:colOff>
      <xdr:row>36</xdr:row>
      <xdr:rowOff>4234</xdr:rowOff>
    </xdr:from>
    <xdr:to>
      <xdr:col>4</xdr:col>
      <xdr:colOff>957791</xdr:colOff>
      <xdr:row>51</xdr:row>
      <xdr:rowOff>48684</xdr:rowOff>
    </xdr:to>
    <xdr:graphicFrame macro="">
      <xdr:nvGraphicFramePr>
        <xdr:cNvPr id="24" name="Chart 23">
          <a:extLst>
            <a:ext uri="{FF2B5EF4-FFF2-40B4-BE49-F238E27FC236}">
              <a16:creationId xmlns:a16="http://schemas.microsoft.com/office/drawing/2014/main" id="{664BC5E6-F15F-88C3-EFB9-5E3FDCF314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1010708</xdr:colOff>
      <xdr:row>36</xdr:row>
      <xdr:rowOff>131234</xdr:rowOff>
    </xdr:from>
    <xdr:to>
      <xdr:col>9</xdr:col>
      <xdr:colOff>195792</xdr:colOff>
      <xdr:row>51</xdr:row>
      <xdr:rowOff>175684</xdr:rowOff>
    </xdr:to>
    <xdr:graphicFrame macro="">
      <xdr:nvGraphicFramePr>
        <xdr:cNvPr id="26" name="Chart 25">
          <a:extLst>
            <a:ext uri="{FF2B5EF4-FFF2-40B4-BE49-F238E27FC236}">
              <a16:creationId xmlns:a16="http://schemas.microsoft.com/office/drawing/2014/main" id="{F4C7CF79-0B8A-D2B9-435E-A387FE2477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248709</xdr:colOff>
      <xdr:row>40</xdr:row>
      <xdr:rowOff>88901</xdr:rowOff>
    </xdr:from>
    <xdr:to>
      <xdr:col>12</xdr:col>
      <xdr:colOff>508001</xdr:colOff>
      <xdr:row>55</xdr:row>
      <xdr:rowOff>133351</xdr:rowOff>
    </xdr:to>
    <xdr:graphicFrame macro="">
      <xdr:nvGraphicFramePr>
        <xdr:cNvPr id="28" name="Chart 27">
          <a:extLst>
            <a:ext uri="{FF2B5EF4-FFF2-40B4-BE49-F238E27FC236}">
              <a16:creationId xmlns:a16="http://schemas.microsoft.com/office/drawing/2014/main" id="{20A02CB6-0561-A6D3-2054-2A486D3CE2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571500</xdr:colOff>
      <xdr:row>3</xdr:row>
      <xdr:rowOff>169333</xdr:rowOff>
    </xdr:from>
    <xdr:to>
      <xdr:col>28</xdr:col>
      <xdr:colOff>10584</xdr:colOff>
      <xdr:row>34</xdr:row>
      <xdr:rowOff>148166</xdr:rowOff>
    </xdr:to>
    <xdr:sp macro="" textlink="">
      <xdr:nvSpPr>
        <xdr:cNvPr id="3" name="Rectangle: Rounded Corners 2">
          <a:extLst>
            <a:ext uri="{FF2B5EF4-FFF2-40B4-BE49-F238E27FC236}">
              <a16:creationId xmlns:a16="http://schemas.microsoft.com/office/drawing/2014/main" id="{1C72CF3D-B491-0736-D00C-A4A495264C7F}"/>
            </a:ext>
          </a:extLst>
        </xdr:cNvPr>
        <xdr:cNvSpPr/>
      </xdr:nvSpPr>
      <xdr:spPr>
        <a:xfrm>
          <a:off x="2413000" y="645583"/>
          <a:ext cx="15483417" cy="5556250"/>
        </a:xfrm>
        <a:prstGeom prst="roundRect">
          <a:avLst>
            <a:gd name="adj" fmla="val 3036"/>
          </a:avLst>
        </a:prstGeom>
        <a:solidFill>
          <a:srgbClr val="00B050"/>
        </a:solidFill>
        <a:ln>
          <a:solidFill>
            <a:schemeClr val="accent4">
              <a:lumMod val="75000"/>
            </a:schemeClr>
          </a:solidFill>
        </a:ln>
        <a:effectLst>
          <a:glow rad="1397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645582</xdr:colOff>
      <xdr:row>4</xdr:row>
      <xdr:rowOff>137584</xdr:rowOff>
    </xdr:from>
    <xdr:to>
      <xdr:col>22</xdr:col>
      <xdr:colOff>328084</xdr:colOff>
      <xdr:row>20</xdr:row>
      <xdr:rowOff>169334</xdr:rowOff>
    </xdr:to>
    <xdr:graphicFrame macro="">
      <xdr:nvGraphicFramePr>
        <xdr:cNvPr id="4" name="Chart 3">
          <a:extLst>
            <a:ext uri="{FF2B5EF4-FFF2-40B4-BE49-F238E27FC236}">
              <a16:creationId xmlns:a16="http://schemas.microsoft.com/office/drawing/2014/main" id="{C5D1D8E7-B33D-4D0D-9EBF-35366B2B28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603249</xdr:colOff>
      <xdr:row>21</xdr:row>
      <xdr:rowOff>90334</xdr:rowOff>
    </xdr:from>
    <xdr:to>
      <xdr:col>12</xdr:col>
      <xdr:colOff>539749</xdr:colOff>
      <xdr:row>34</xdr:row>
      <xdr:rowOff>116417</xdr:rowOff>
    </xdr:to>
    <xdr:graphicFrame macro="">
      <xdr:nvGraphicFramePr>
        <xdr:cNvPr id="6" name="Chart 5">
          <a:extLst>
            <a:ext uri="{FF2B5EF4-FFF2-40B4-BE49-F238E27FC236}">
              <a16:creationId xmlns:a16="http://schemas.microsoft.com/office/drawing/2014/main" id="{9A433842-6857-4AC6-833F-23F4BB6F0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582083</xdr:colOff>
      <xdr:row>21</xdr:row>
      <xdr:rowOff>79751</xdr:rowOff>
    </xdr:from>
    <xdr:to>
      <xdr:col>22</xdr:col>
      <xdr:colOff>169334</xdr:colOff>
      <xdr:row>34</xdr:row>
      <xdr:rowOff>137584</xdr:rowOff>
    </xdr:to>
    <xdr:graphicFrame macro="">
      <xdr:nvGraphicFramePr>
        <xdr:cNvPr id="7" name="Chart 6">
          <a:extLst>
            <a:ext uri="{FF2B5EF4-FFF2-40B4-BE49-F238E27FC236}">
              <a16:creationId xmlns:a16="http://schemas.microsoft.com/office/drawing/2014/main" id="{8B2DFFE3-6922-47AF-8858-45A667DCFA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391584</xdr:colOff>
      <xdr:row>4</xdr:row>
      <xdr:rowOff>69167</xdr:rowOff>
    </xdr:from>
    <xdr:to>
      <xdr:col>27</xdr:col>
      <xdr:colOff>571500</xdr:colOff>
      <xdr:row>20</xdr:row>
      <xdr:rowOff>148167</xdr:rowOff>
    </xdr:to>
    <xdr:graphicFrame macro="">
      <xdr:nvGraphicFramePr>
        <xdr:cNvPr id="8" name="Chart 7">
          <a:extLst>
            <a:ext uri="{FF2B5EF4-FFF2-40B4-BE49-F238E27FC236}">
              <a16:creationId xmlns:a16="http://schemas.microsoft.com/office/drawing/2014/main" id="{69350802-679F-4011-9175-6BCCDBD942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211667</xdr:colOff>
      <xdr:row>21</xdr:row>
      <xdr:rowOff>69167</xdr:rowOff>
    </xdr:from>
    <xdr:to>
      <xdr:col>27</xdr:col>
      <xdr:colOff>550333</xdr:colOff>
      <xdr:row>34</xdr:row>
      <xdr:rowOff>105833</xdr:rowOff>
    </xdr:to>
    <xdr:graphicFrame macro="">
      <xdr:nvGraphicFramePr>
        <xdr:cNvPr id="9" name="Chart 8">
          <a:extLst>
            <a:ext uri="{FF2B5EF4-FFF2-40B4-BE49-F238E27FC236}">
              <a16:creationId xmlns:a16="http://schemas.microsoft.com/office/drawing/2014/main" id="{2579D864-868A-4BA3-A3AF-919A12CC83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0</xdr:col>
      <xdr:colOff>52917</xdr:colOff>
      <xdr:row>0</xdr:row>
      <xdr:rowOff>63501</xdr:rowOff>
    </xdr:from>
    <xdr:ext cx="381000" cy="560916"/>
    <xdr:sp macro="" textlink="">
      <xdr:nvSpPr>
        <xdr:cNvPr id="11" name="TextBox 10">
          <a:extLst>
            <a:ext uri="{FF2B5EF4-FFF2-40B4-BE49-F238E27FC236}">
              <a16:creationId xmlns:a16="http://schemas.microsoft.com/office/drawing/2014/main" id="{2D15A8A2-F38D-7ACA-8D66-7FE388BAA7F1}"/>
            </a:ext>
          </a:extLst>
        </xdr:cNvPr>
        <xdr:cNvSpPr txBox="1"/>
      </xdr:nvSpPr>
      <xdr:spPr>
        <a:xfrm flipH="1">
          <a:off x="52917" y="63501"/>
          <a:ext cx="381000" cy="560916"/>
        </a:xfrm>
        <a:prstGeom prst="rect">
          <a:avLst/>
        </a:prstGeom>
        <a:solidFill>
          <a:schemeClr val="bg1"/>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100"/>
        </a:p>
      </xdr:txBody>
    </xdr:sp>
    <xdr:clientData/>
  </xdr:oneCellAnchor>
  <xdr:twoCellAnchor>
    <xdr:from>
      <xdr:col>4</xdr:col>
      <xdr:colOff>21167</xdr:colOff>
      <xdr:row>12</xdr:row>
      <xdr:rowOff>10583</xdr:rowOff>
    </xdr:from>
    <xdr:to>
      <xdr:col>5</xdr:col>
      <xdr:colOff>550333</xdr:colOff>
      <xdr:row>15</xdr:row>
      <xdr:rowOff>52917</xdr:rowOff>
    </xdr:to>
    <xdr:sp macro="" textlink="">
      <xdr:nvSpPr>
        <xdr:cNvPr id="12" name="Rectangle: Rounded Corners 11">
          <a:extLst>
            <a:ext uri="{FF2B5EF4-FFF2-40B4-BE49-F238E27FC236}">
              <a16:creationId xmlns:a16="http://schemas.microsoft.com/office/drawing/2014/main" id="{F68B7C86-C1C2-CE97-08C8-FC06C173F23E}"/>
            </a:ext>
          </a:extLst>
        </xdr:cNvPr>
        <xdr:cNvSpPr/>
      </xdr:nvSpPr>
      <xdr:spPr>
        <a:xfrm>
          <a:off x="2476500" y="2106083"/>
          <a:ext cx="1143000" cy="582084"/>
        </a:xfrm>
        <a:prstGeom prst="roundRect">
          <a:avLst/>
        </a:prstGeom>
        <a:solidFill>
          <a:schemeClr val="accent2"/>
        </a:solidFill>
        <a:ln>
          <a:solidFill>
            <a:schemeClr val="accent6"/>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chemeClr val="bg1"/>
              </a:solidFill>
            </a:rPr>
            <a:t>Dashboard</a:t>
          </a:r>
          <a:endParaRPr lang="en-US" sz="1100" b="0">
            <a:solidFill>
              <a:schemeClr val="bg1"/>
            </a:solidFill>
          </a:endParaRPr>
        </a:p>
      </xdr:txBody>
    </xdr:sp>
    <xdr:clientData/>
  </xdr:twoCellAnchor>
  <xdr:twoCellAnchor>
    <xdr:from>
      <xdr:col>4</xdr:col>
      <xdr:colOff>10584</xdr:colOff>
      <xdr:row>16</xdr:row>
      <xdr:rowOff>10583</xdr:rowOff>
    </xdr:from>
    <xdr:to>
      <xdr:col>5</xdr:col>
      <xdr:colOff>529166</xdr:colOff>
      <xdr:row>19</xdr:row>
      <xdr:rowOff>52916</xdr:rowOff>
    </xdr:to>
    <xdr:sp macro="" textlink="">
      <xdr:nvSpPr>
        <xdr:cNvPr id="13" name="Rectangle: Rounded Corners 12">
          <a:hlinkClick xmlns:r="http://schemas.openxmlformats.org/officeDocument/2006/relationships" r:id="rId6"/>
          <a:extLst>
            <a:ext uri="{FF2B5EF4-FFF2-40B4-BE49-F238E27FC236}">
              <a16:creationId xmlns:a16="http://schemas.microsoft.com/office/drawing/2014/main" id="{7DBA6E0B-3611-30F2-B0C3-EC5901CAF930}"/>
            </a:ext>
          </a:extLst>
        </xdr:cNvPr>
        <xdr:cNvSpPr/>
      </xdr:nvSpPr>
      <xdr:spPr>
        <a:xfrm>
          <a:off x="2465917" y="2825750"/>
          <a:ext cx="1132416" cy="582083"/>
        </a:xfrm>
        <a:prstGeom prst="roundRect">
          <a:avLst/>
        </a:prstGeom>
        <a:solidFill>
          <a:schemeClr val="accent2"/>
        </a:solidFill>
        <a:ln>
          <a:solidFill>
            <a:schemeClr val="accent6"/>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Analysis Dasboard</a:t>
          </a:r>
        </a:p>
      </xdr:txBody>
    </xdr:sp>
    <xdr:clientData/>
  </xdr:twoCellAnchor>
  <xdr:oneCellAnchor>
    <xdr:from>
      <xdr:col>5</xdr:col>
      <xdr:colOff>52916</xdr:colOff>
      <xdr:row>2</xdr:row>
      <xdr:rowOff>42335</xdr:rowOff>
    </xdr:from>
    <xdr:ext cx="1534584" cy="275165"/>
    <xdr:sp macro="" textlink="">
      <xdr:nvSpPr>
        <xdr:cNvPr id="14" name="TextBox 13">
          <a:extLst>
            <a:ext uri="{FF2B5EF4-FFF2-40B4-BE49-F238E27FC236}">
              <a16:creationId xmlns:a16="http://schemas.microsoft.com/office/drawing/2014/main" id="{BF75E827-5E81-2082-1126-C490D7BE1BCB}"/>
            </a:ext>
          </a:extLst>
        </xdr:cNvPr>
        <xdr:cNvSpPr txBox="1"/>
      </xdr:nvSpPr>
      <xdr:spPr>
        <a:xfrm>
          <a:off x="3122083" y="338668"/>
          <a:ext cx="1534584" cy="2751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t>Total Revenue</a:t>
          </a:r>
        </a:p>
      </xdr:txBody>
    </xdr:sp>
    <xdr:clientData/>
  </xdr:oneCellAnchor>
  <xdr:oneCellAnchor>
    <xdr:from>
      <xdr:col>7</xdr:col>
      <xdr:colOff>21167</xdr:colOff>
      <xdr:row>2</xdr:row>
      <xdr:rowOff>52917</xdr:rowOff>
    </xdr:from>
    <xdr:ext cx="1164167" cy="232833"/>
    <xdr:sp macro="" textlink="">
      <xdr:nvSpPr>
        <xdr:cNvPr id="15" name="TextBox 14">
          <a:extLst>
            <a:ext uri="{FF2B5EF4-FFF2-40B4-BE49-F238E27FC236}">
              <a16:creationId xmlns:a16="http://schemas.microsoft.com/office/drawing/2014/main" id="{CD2F3794-7FD0-0DFE-732B-4F6AE92F5985}"/>
            </a:ext>
          </a:extLst>
        </xdr:cNvPr>
        <xdr:cNvSpPr txBox="1"/>
      </xdr:nvSpPr>
      <xdr:spPr>
        <a:xfrm>
          <a:off x="5016500" y="349250"/>
          <a:ext cx="1164167" cy="2328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t>Quantiy Sold</a:t>
          </a:r>
        </a:p>
      </xdr:txBody>
    </xdr:sp>
    <xdr:clientData/>
  </xdr:oneCellAnchor>
  <xdr:oneCellAnchor>
    <xdr:from>
      <xdr:col>9</xdr:col>
      <xdr:colOff>603251</xdr:colOff>
      <xdr:row>2</xdr:row>
      <xdr:rowOff>42335</xdr:rowOff>
    </xdr:from>
    <xdr:ext cx="1227666" cy="243416"/>
    <xdr:sp macro="" textlink="">
      <xdr:nvSpPr>
        <xdr:cNvPr id="16" name="TextBox 15">
          <a:extLst>
            <a:ext uri="{FF2B5EF4-FFF2-40B4-BE49-F238E27FC236}">
              <a16:creationId xmlns:a16="http://schemas.microsoft.com/office/drawing/2014/main" id="{33E18968-6A53-64A4-C782-45644B4849F6}"/>
            </a:ext>
          </a:extLst>
        </xdr:cNvPr>
        <xdr:cNvSpPr txBox="1"/>
      </xdr:nvSpPr>
      <xdr:spPr>
        <a:xfrm>
          <a:off x="6826251" y="338668"/>
          <a:ext cx="1227666" cy="2434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t>Total Ratings</a:t>
          </a:r>
        </a:p>
      </xdr:txBody>
    </xdr:sp>
    <xdr:clientData/>
  </xdr:oneCellAnchor>
  <xdr:oneCellAnchor>
    <xdr:from>
      <xdr:col>13</xdr:col>
      <xdr:colOff>10584</xdr:colOff>
      <xdr:row>2</xdr:row>
      <xdr:rowOff>31751</xdr:rowOff>
    </xdr:from>
    <xdr:ext cx="1185333" cy="264560"/>
    <xdr:sp macro="" textlink="">
      <xdr:nvSpPr>
        <xdr:cNvPr id="17" name="TextBox 16">
          <a:extLst>
            <a:ext uri="{FF2B5EF4-FFF2-40B4-BE49-F238E27FC236}">
              <a16:creationId xmlns:a16="http://schemas.microsoft.com/office/drawing/2014/main" id="{5DDD8326-8C1A-137B-8945-09E532EA1A2C}"/>
            </a:ext>
          </a:extLst>
        </xdr:cNvPr>
        <xdr:cNvSpPr txBox="1"/>
      </xdr:nvSpPr>
      <xdr:spPr>
        <a:xfrm>
          <a:off x="8688917" y="328084"/>
          <a:ext cx="118533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100" b="1"/>
            <a:t>Average Price</a:t>
          </a:r>
        </a:p>
      </xdr:txBody>
    </xdr:sp>
    <xdr:clientData/>
  </xdr:oneCellAnchor>
  <xdr:oneCellAnchor>
    <xdr:from>
      <xdr:col>15</xdr:col>
      <xdr:colOff>582083</xdr:colOff>
      <xdr:row>2</xdr:row>
      <xdr:rowOff>52918</xdr:rowOff>
    </xdr:from>
    <xdr:ext cx="1418167" cy="211666"/>
    <xdr:sp macro="" textlink="">
      <xdr:nvSpPr>
        <xdr:cNvPr id="18" name="TextBox 17">
          <a:extLst>
            <a:ext uri="{FF2B5EF4-FFF2-40B4-BE49-F238E27FC236}">
              <a16:creationId xmlns:a16="http://schemas.microsoft.com/office/drawing/2014/main" id="{2265806C-6272-7E4E-6FC1-5E0D592687BC}"/>
            </a:ext>
          </a:extLst>
        </xdr:cNvPr>
        <xdr:cNvSpPr txBox="1"/>
      </xdr:nvSpPr>
      <xdr:spPr>
        <a:xfrm>
          <a:off x="10964333" y="349251"/>
          <a:ext cx="1418167" cy="2116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solidFill>
                <a:schemeClr val="tx1">
                  <a:lumMod val="95000"/>
                  <a:lumOff val="5000"/>
                </a:schemeClr>
              </a:solidFill>
            </a:rPr>
            <a:t>Average Revenue</a:t>
          </a:r>
        </a:p>
      </xdr:txBody>
    </xdr:sp>
    <xdr:clientData/>
  </xdr:oneCellAnchor>
  <xdr:twoCellAnchor>
    <xdr:from>
      <xdr:col>4</xdr:col>
      <xdr:colOff>21167</xdr:colOff>
      <xdr:row>5</xdr:row>
      <xdr:rowOff>52918</xdr:rowOff>
    </xdr:from>
    <xdr:to>
      <xdr:col>5</xdr:col>
      <xdr:colOff>529166</xdr:colOff>
      <xdr:row>10</xdr:row>
      <xdr:rowOff>169333</xdr:rowOff>
    </xdr:to>
    <xdr:sp macro="" textlink="">
      <xdr:nvSpPr>
        <xdr:cNvPr id="2" name="TextBox 1">
          <a:extLst>
            <a:ext uri="{FF2B5EF4-FFF2-40B4-BE49-F238E27FC236}">
              <a16:creationId xmlns:a16="http://schemas.microsoft.com/office/drawing/2014/main" id="{3F6AC71A-4022-FF30-E84E-278E2512F3B9}"/>
            </a:ext>
          </a:extLst>
        </xdr:cNvPr>
        <xdr:cNvSpPr txBox="1"/>
      </xdr:nvSpPr>
      <xdr:spPr>
        <a:xfrm>
          <a:off x="2476500" y="889001"/>
          <a:ext cx="1121833" cy="1015999"/>
        </a:xfrm>
        <a:prstGeom prst="rect">
          <a:avLst/>
        </a:prstGeom>
        <a:solidFill>
          <a:schemeClr val="accent2"/>
        </a:solidFill>
        <a:ln w="9525" cmpd="sng">
          <a:solidFill>
            <a:schemeClr val="accent6"/>
          </a:solid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Daraz Sneakers Analysis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582084</xdr:colOff>
      <xdr:row>0</xdr:row>
      <xdr:rowOff>52917</xdr:rowOff>
    </xdr:from>
    <xdr:to>
      <xdr:col>28</xdr:col>
      <xdr:colOff>402168</xdr:colOff>
      <xdr:row>33</xdr:row>
      <xdr:rowOff>158750</xdr:rowOff>
    </xdr:to>
    <xdr:sp macro="" textlink="">
      <xdr:nvSpPr>
        <xdr:cNvPr id="2" name="Rectangle: Rounded Corners 1">
          <a:extLst>
            <a:ext uri="{FF2B5EF4-FFF2-40B4-BE49-F238E27FC236}">
              <a16:creationId xmlns:a16="http://schemas.microsoft.com/office/drawing/2014/main" id="{8F50925C-DD5D-31B6-8171-FE1D9E04A4F7}"/>
            </a:ext>
          </a:extLst>
        </xdr:cNvPr>
        <xdr:cNvSpPr/>
      </xdr:nvSpPr>
      <xdr:spPr>
        <a:xfrm>
          <a:off x="1809751" y="52917"/>
          <a:ext cx="15779750" cy="6043083"/>
        </a:xfrm>
        <a:prstGeom prst="roundRect">
          <a:avLst>
            <a:gd name="adj" fmla="val 3357"/>
          </a:avLst>
        </a:prstGeom>
        <a:solidFill>
          <a:srgbClr val="00B050"/>
        </a:solidFill>
        <a:ln>
          <a:solidFill>
            <a:schemeClr val="accent4">
              <a:lumMod val="75000"/>
            </a:schemeClr>
          </a:solidFill>
        </a:ln>
        <a:effectLst>
          <a:glow rad="1016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50"/>
        </a:p>
      </xdr:txBody>
    </xdr:sp>
    <xdr:clientData/>
  </xdr:twoCellAnchor>
  <xdr:twoCellAnchor>
    <xdr:from>
      <xdr:col>13</xdr:col>
      <xdr:colOff>402166</xdr:colOff>
      <xdr:row>0</xdr:row>
      <xdr:rowOff>148167</xdr:rowOff>
    </xdr:from>
    <xdr:to>
      <xdr:col>28</xdr:col>
      <xdr:colOff>335492</xdr:colOff>
      <xdr:row>17</xdr:row>
      <xdr:rowOff>10583</xdr:rowOff>
    </xdr:to>
    <xdr:graphicFrame macro="">
      <xdr:nvGraphicFramePr>
        <xdr:cNvPr id="3" name="Chart 2">
          <a:extLst>
            <a:ext uri="{FF2B5EF4-FFF2-40B4-BE49-F238E27FC236}">
              <a16:creationId xmlns:a16="http://schemas.microsoft.com/office/drawing/2014/main" id="{DF2F0C8A-A35A-4BA7-926D-461F20F935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137583</xdr:colOff>
      <xdr:row>0</xdr:row>
      <xdr:rowOff>148167</xdr:rowOff>
    </xdr:from>
    <xdr:to>
      <xdr:col>13</xdr:col>
      <xdr:colOff>354541</xdr:colOff>
      <xdr:row>17</xdr:row>
      <xdr:rowOff>21167</xdr:rowOff>
    </xdr:to>
    <xdr:graphicFrame macro="">
      <xdr:nvGraphicFramePr>
        <xdr:cNvPr id="4" name="Chart 3">
          <a:extLst>
            <a:ext uri="{FF2B5EF4-FFF2-40B4-BE49-F238E27FC236}">
              <a16:creationId xmlns:a16="http://schemas.microsoft.com/office/drawing/2014/main" id="{250CAF74-18A5-4F94-AA03-0BD3A5B659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455084</xdr:colOff>
      <xdr:row>17</xdr:row>
      <xdr:rowOff>105833</xdr:rowOff>
    </xdr:from>
    <xdr:to>
      <xdr:col>28</xdr:col>
      <xdr:colOff>328083</xdr:colOff>
      <xdr:row>33</xdr:row>
      <xdr:rowOff>63499</xdr:rowOff>
    </xdr:to>
    <xdr:graphicFrame macro="">
      <xdr:nvGraphicFramePr>
        <xdr:cNvPr id="5" name="Chart 4">
          <a:extLst>
            <a:ext uri="{FF2B5EF4-FFF2-40B4-BE49-F238E27FC236}">
              <a16:creationId xmlns:a16="http://schemas.microsoft.com/office/drawing/2014/main" id="{7697E132-963A-4CE7-907E-336024FD84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116416</xdr:colOff>
      <xdr:row>17</xdr:row>
      <xdr:rowOff>116416</xdr:rowOff>
    </xdr:from>
    <xdr:to>
      <xdr:col>19</xdr:col>
      <xdr:colOff>391583</xdr:colOff>
      <xdr:row>33</xdr:row>
      <xdr:rowOff>74082</xdr:rowOff>
    </xdr:to>
    <xdr:graphicFrame macro="">
      <xdr:nvGraphicFramePr>
        <xdr:cNvPr id="6" name="Chart 5">
          <a:extLst>
            <a:ext uri="{FF2B5EF4-FFF2-40B4-BE49-F238E27FC236}">
              <a16:creationId xmlns:a16="http://schemas.microsoft.com/office/drawing/2014/main" id="{B257BC99-749A-46CB-A645-98B0F00A2F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105832</xdr:colOff>
      <xdr:row>17</xdr:row>
      <xdr:rowOff>116417</xdr:rowOff>
    </xdr:from>
    <xdr:to>
      <xdr:col>12</xdr:col>
      <xdr:colOff>52916</xdr:colOff>
      <xdr:row>33</xdr:row>
      <xdr:rowOff>95250</xdr:rowOff>
    </xdr:to>
    <xdr:graphicFrame macro="">
      <xdr:nvGraphicFramePr>
        <xdr:cNvPr id="7" name="Chart 6">
          <a:extLst>
            <a:ext uri="{FF2B5EF4-FFF2-40B4-BE49-F238E27FC236}">
              <a16:creationId xmlns:a16="http://schemas.microsoft.com/office/drawing/2014/main" id="{D87E1EBB-AA28-494F-B735-4F67FA82C5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21167</xdr:colOff>
      <xdr:row>11</xdr:row>
      <xdr:rowOff>74084</xdr:rowOff>
    </xdr:from>
    <xdr:to>
      <xdr:col>5</xdr:col>
      <xdr:colOff>21165</xdr:colOff>
      <xdr:row>14</xdr:row>
      <xdr:rowOff>0</xdr:rowOff>
    </xdr:to>
    <xdr:sp macro="" textlink="">
      <xdr:nvSpPr>
        <xdr:cNvPr id="8" name="Rectangle: Rounded Corners 7">
          <a:hlinkClick xmlns:r="http://schemas.openxmlformats.org/officeDocument/2006/relationships" r:id="rId6"/>
          <a:extLst>
            <a:ext uri="{FF2B5EF4-FFF2-40B4-BE49-F238E27FC236}">
              <a16:creationId xmlns:a16="http://schemas.microsoft.com/office/drawing/2014/main" id="{390FDC28-6717-E47F-D70C-61B44A2B15EC}"/>
            </a:ext>
          </a:extLst>
        </xdr:cNvPr>
        <xdr:cNvSpPr/>
      </xdr:nvSpPr>
      <xdr:spPr>
        <a:xfrm>
          <a:off x="1862667" y="2053167"/>
          <a:ext cx="1227665" cy="465666"/>
        </a:xfrm>
        <a:prstGeom prst="roundRect">
          <a:avLst/>
        </a:prstGeom>
        <a:solidFill>
          <a:schemeClr val="accent2"/>
        </a:solidFill>
        <a:ln>
          <a:solidFill>
            <a:schemeClr val="accent6"/>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Dashboard</a:t>
          </a:r>
          <a:endParaRPr lang="en-US" sz="1200"/>
        </a:p>
      </xdr:txBody>
    </xdr:sp>
    <xdr:clientData/>
  </xdr:twoCellAnchor>
  <xdr:twoCellAnchor>
    <xdr:from>
      <xdr:col>2</xdr:col>
      <xdr:colOff>603250</xdr:colOff>
      <xdr:row>14</xdr:row>
      <xdr:rowOff>84668</xdr:rowOff>
    </xdr:from>
    <xdr:to>
      <xdr:col>5</xdr:col>
      <xdr:colOff>52916</xdr:colOff>
      <xdr:row>17</xdr:row>
      <xdr:rowOff>21168</xdr:rowOff>
    </xdr:to>
    <xdr:sp macro="" textlink="">
      <xdr:nvSpPr>
        <xdr:cNvPr id="9" name="Rectangle: Rounded Corners 8">
          <a:extLst>
            <a:ext uri="{FF2B5EF4-FFF2-40B4-BE49-F238E27FC236}">
              <a16:creationId xmlns:a16="http://schemas.microsoft.com/office/drawing/2014/main" id="{66094A34-862E-47B2-B687-F3B16E60B46C}"/>
            </a:ext>
          </a:extLst>
        </xdr:cNvPr>
        <xdr:cNvSpPr/>
      </xdr:nvSpPr>
      <xdr:spPr>
        <a:xfrm>
          <a:off x="1830917" y="2603501"/>
          <a:ext cx="1291166" cy="476250"/>
        </a:xfrm>
        <a:prstGeom prst="roundRect">
          <a:avLst/>
        </a:prstGeom>
        <a:solidFill>
          <a:schemeClr val="accent2"/>
        </a:solidFill>
        <a:ln>
          <a:solidFill>
            <a:schemeClr val="accent6"/>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Analysis</a:t>
          </a:r>
          <a:r>
            <a:rPr lang="en-US" sz="1200" baseline="0"/>
            <a:t> </a:t>
          </a:r>
          <a:r>
            <a:rPr lang="en-US" sz="1400" baseline="0"/>
            <a:t>page</a:t>
          </a:r>
          <a:endParaRPr lang="en-US" sz="12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C3CC94-CE0B-4F89-A6E9-A72059B563D6}" name="Table1" displayName="Table1" ref="B1:J242" totalsRowCount="1" headerRowDxfId="19" dataDxfId="18">
  <autoFilter ref="B1:J241" xr:uid="{2DC3CC94-CE0B-4F89-A6E9-A72059B563D6}"/>
  <tableColumns count="9">
    <tableColumn id="1" xr3:uid="{7D5C1031-48FE-42CA-951B-67DBB93B9075}" name="Product Name" dataDxfId="17" totalsRowDxfId="16"/>
    <tableColumn id="2" xr3:uid="{23BF53E8-488E-42CA-851D-9BB1049D8FFD}" name="Product URL" dataDxfId="15" totalsRowDxfId="14"/>
    <tableColumn id="3" xr3:uid="{095092C3-D258-4BE2-86D8-CD856EDF385D}" name="Product Image" dataDxfId="13" totalsRowDxfId="12"/>
    <tableColumn id="4" xr3:uid="{C8296151-4C16-498F-BB36-F1B8A805BD9D}" name="Price (PKR)" totalsRowFunction="average" dataDxfId="11" totalsRowDxfId="10"/>
    <tableColumn id="5" xr3:uid="{FB2F81E9-106A-4AF8-AC55-6F526B81DCB5}" name="Discount Percentage" totalsRowFunction="average" dataDxfId="9" totalsRowDxfId="8"/>
    <tableColumn id="6" xr3:uid="{6730EF54-5CC3-4FAC-92F2-7B6F7D178F78}" name="Number Sold" totalsRowFunction="average" dataDxfId="7" totalsRowDxfId="6"/>
    <tableColumn id="7" xr3:uid="{F6AA440D-CF2B-441A-AFC2-1B816C1AE427}" name="Rating (Out of 5)" totalsRowFunction="average" dataDxfId="5" totalsRowDxfId="4"/>
    <tableColumn id="8" xr3:uid="{C5D1F0A9-2C87-4021-B447-C2BC794B705C}" name="Location" totalsRowFunction="count" dataDxfId="3" totalsRowDxfId="2"/>
    <tableColumn id="10" xr3:uid="{2D1CF943-E502-4650-9209-A90AF73A9918}" name="Revenue" totalsRowFunction="sum" dataDxfId="1" totalsRowDxfId="0">
      <calculatedColumnFormula>Table1[[#This Row],[Price (PKR)]]*Table1[[#This Row],[Number Sold]]</calculatedColumnFormula>
    </tableColumn>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42"/>
  <sheetViews>
    <sheetView showGridLines="0" topLeftCell="C234" zoomScale="80" zoomScaleNormal="80" workbookViewId="0">
      <selection activeCell="C4" sqref="C4"/>
    </sheetView>
  </sheetViews>
  <sheetFormatPr defaultRowHeight="14.5" x14ac:dyDescent="0.35"/>
  <cols>
    <col min="2" max="2" width="57.1796875" customWidth="1"/>
    <col min="3" max="4" width="50" customWidth="1"/>
    <col min="5" max="5" width="16.26953125" customWidth="1"/>
    <col min="6" max="6" width="25.1796875" style="7" customWidth="1"/>
    <col min="7" max="7" width="16.26953125" customWidth="1"/>
    <col min="8" max="8" width="22.81640625" customWidth="1"/>
    <col min="9" max="9" width="22.26953125" customWidth="1"/>
    <col min="10" max="10" width="12.453125" customWidth="1"/>
    <col min="12" max="12" width="2.90625" customWidth="1"/>
    <col min="13" max="13" width="9.453125" customWidth="1"/>
  </cols>
  <sheetData>
    <row r="1" spans="1:14" ht="15" customHeight="1" x14ac:dyDescent="0.35">
      <c r="A1" s="16" t="s">
        <v>690</v>
      </c>
      <c r="B1" s="17" t="s">
        <v>0</v>
      </c>
      <c r="C1" s="17" t="s">
        <v>1</v>
      </c>
      <c r="D1" s="17" t="s">
        <v>2</v>
      </c>
      <c r="E1" s="17" t="s">
        <v>3</v>
      </c>
      <c r="F1" s="18" t="s">
        <v>4</v>
      </c>
      <c r="G1" s="17" t="s">
        <v>5</v>
      </c>
      <c r="H1" s="17" t="s">
        <v>6</v>
      </c>
      <c r="I1" s="17" t="s">
        <v>7</v>
      </c>
      <c r="J1" s="17" t="s">
        <v>691</v>
      </c>
    </row>
    <row r="2" spans="1:14" ht="29" x14ac:dyDescent="0.35">
      <c r="A2" cm="1">
        <f t="array" ref="A2:A242">_xlfn.SEQUENCE("241","1","1201")</f>
        <v>1201</v>
      </c>
      <c r="B2" s="1" t="s">
        <v>8</v>
      </c>
      <c r="C2" s="2" t="s">
        <v>9</v>
      </c>
      <c r="D2" s="1" t="s">
        <v>10</v>
      </c>
      <c r="E2" s="2">
        <v>899</v>
      </c>
      <c r="F2" s="6">
        <v>14</v>
      </c>
      <c r="G2" s="2">
        <v>1800</v>
      </c>
      <c r="H2" s="2">
        <v>4.5999999999999996</v>
      </c>
      <c r="I2" s="1" t="s">
        <v>11</v>
      </c>
      <c r="J2" s="2">
        <f>Table1[[#This Row],[Price (PKR)]]*Table1[[#This Row],[Number Sold]]</f>
        <v>1618200</v>
      </c>
      <c r="M2" s="19"/>
      <c r="N2" s="19"/>
    </row>
    <row r="3" spans="1:14" ht="29" x14ac:dyDescent="0.35">
      <c r="A3">
        <v>1202</v>
      </c>
      <c r="B3" s="1" t="s">
        <v>12</v>
      </c>
      <c r="C3" s="2" t="s">
        <v>13</v>
      </c>
      <c r="D3" s="1" t="s">
        <v>14</v>
      </c>
      <c r="E3" s="2">
        <v>4916</v>
      </c>
      <c r="F3" s="6">
        <v>30</v>
      </c>
      <c r="G3" s="2">
        <v>25</v>
      </c>
      <c r="H3" s="2">
        <v>9</v>
      </c>
      <c r="I3" s="1" t="s">
        <v>11</v>
      </c>
      <c r="J3" s="2">
        <f>Table1[[#This Row],[Price (PKR)]]*Table1[[#This Row],[Number Sold]]</f>
        <v>122900</v>
      </c>
      <c r="M3" s="19"/>
      <c r="N3" s="19"/>
    </row>
    <row r="4" spans="1:14" ht="58" x14ac:dyDescent="0.35">
      <c r="A4">
        <v>1203</v>
      </c>
      <c r="B4" s="1" t="s">
        <v>15</v>
      </c>
      <c r="C4" s="2" t="s">
        <v>16</v>
      </c>
      <c r="D4" s="1" t="s">
        <v>17</v>
      </c>
      <c r="E4" s="2">
        <v>3386</v>
      </c>
      <c r="F4" s="6">
        <v>58</v>
      </c>
      <c r="G4" s="2">
        <v>7</v>
      </c>
      <c r="H4" s="2">
        <v>2</v>
      </c>
      <c r="I4" s="1" t="s">
        <v>11</v>
      </c>
      <c r="J4" s="2">
        <f>Table1[[#This Row],[Price (PKR)]]*Table1[[#This Row],[Number Sold]]</f>
        <v>23702</v>
      </c>
    </row>
    <row r="5" spans="1:14" ht="29" x14ac:dyDescent="0.35">
      <c r="A5">
        <v>1204</v>
      </c>
      <c r="B5" s="1" t="s">
        <v>18</v>
      </c>
      <c r="C5" s="2" t="s">
        <v>19</v>
      </c>
      <c r="D5" s="1" t="s">
        <v>20</v>
      </c>
      <c r="E5" s="2">
        <v>1259</v>
      </c>
      <c r="F5" s="6">
        <v>37</v>
      </c>
      <c r="G5" s="2">
        <v>8</v>
      </c>
      <c r="H5" s="2">
        <v>3</v>
      </c>
      <c r="I5" s="1" t="s">
        <v>21</v>
      </c>
      <c r="J5" s="2">
        <f>Table1[[#This Row],[Price (PKR)]]*Table1[[#This Row],[Number Sold]]</f>
        <v>10072</v>
      </c>
    </row>
    <row r="6" spans="1:14" ht="29" x14ac:dyDescent="0.35">
      <c r="A6">
        <v>1205</v>
      </c>
      <c r="B6" s="1" t="s">
        <v>22</v>
      </c>
      <c r="C6" s="2" t="s">
        <v>23</v>
      </c>
      <c r="D6" s="1" t="s">
        <v>24</v>
      </c>
      <c r="E6" s="2">
        <v>967</v>
      </c>
      <c r="F6" s="6">
        <v>52</v>
      </c>
      <c r="G6" s="2">
        <v>20</v>
      </c>
      <c r="H6" s="2">
        <v>2</v>
      </c>
      <c r="I6" s="1" t="s">
        <v>11</v>
      </c>
      <c r="J6" s="2">
        <f>Table1[[#This Row],[Price (PKR)]]*Table1[[#This Row],[Number Sold]]</f>
        <v>19340</v>
      </c>
    </row>
    <row r="7" spans="1:14" ht="29" x14ac:dyDescent="0.35">
      <c r="A7">
        <v>1206</v>
      </c>
      <c r="B7" s="1" t="s">
        <v>25</v>
      </c>
      <c r="C7" s="2" t="s">
        <v>26</v>
      </c>
      <c r="D7" s="1" t="s">
        <v>27</v>
      </c>
      <c r="E7" s="2">
        <v>1199</v>
      </c>
      <c r="F7" s="6">
        <v>35</v>
      </c>
      <c r="G7" s="2">
        <v>13</v>
      </c>
      <c r="H7" s="2">
        <v>5</v>
      </c>
      <c r="I7" s="1" t="s">
        <v>11</v>
      </c>
      <c r="J7" s="2">
        <f>Table1[[#This Row],[Price (PKR)]]*Table1[[#This Row],[Number Sold]]</f>
        <v>15587</v>
      </c>
    </row>
    <row r="8" spans="1:14" ht="29" x14ac:dyDescent="0.35">
      <c r="A8">
        <v>1207</v>
      </c>
      <c r="B8" s="1" t="s">
        <v>28</v>
      </c>
      <c r="C8" s="2" t="s">
        <v>29</v>
      </c>
      <c r="D8" s="1" t="s">
        <v>30</v>
      </c>
      <c r="E8" s="2">
        <v>1899</v>
      </c>
      <c r="F8" s="6">
        <v>47</v>
      </c>
      <c r="G8" s="2">
        <v>607</v>
      </c>
      <c r="H8" s="2">
        <v>82</v>
      </c>
      <c r="I8" s="1" t="s">
        <v>11</v>
      </c>
      <c r="J8" s="2">
        <f>Table1[[#This Row],[Price (PKR)]]*Table1[[#This Row],[Number Sold]]</f>
        <v>1152693</v>
      </c>
    </row>
    <row r="9" spans="1:14" ht="72.5" x14ac:dyDescent="0.35">
      <c r="A9">
        <v>1208</v>
      </c>
      <c r="B9" s="1" t="s">
        <v>31</v>
      </c>
      <c r="C9" s="2" t="s">
        <v>32</v>
      </c>
      <c r="D9" s="1" t="s">
        <v>33</v>
      </c>
      <c r="E9" s="2">
        <v>749</v>
      </c>
      <c r="F9" s="6">
        <v>61</v>
      </c>
      <c r="G9" s="2">
        <v>607</v>
      </c>
      <c r="H9" s="2">
        <v>82</v>
      </c>
      <c r="I9" s="1" t="s">
        <v>11</v>
      </c>
      <c r="J9" s="2">
        <f>Table1[[#This Row],[Price (PKR)]]*Table1[[#This Row],[Number Sold]]</f>
        <v>454643</v>
      </c>
    </row>
    <row r="10" spans="1:14" ht="29" x14ac:dyDescent="0.35">
      <c r="A10">
        <v>1209</v>
      </c>
      <c r="B10" s="1" t="s">
        <v>34</v>
      </c>
      <c r="C10" s="2" t="s">
        <v>35</v>
      </c>
      <c r="D10" s="1" t="s">
        <v>36</v>
      </c>
      <c r="E10" s="2">
        <v>1234</v>
      </c>
      <c r="F10" s="6">
        <v>18</v>
      </c>
      <c r="G10" s="2">
        <v>3300</v>
      </c>
      <c r="H10" s="2">
        <v>7.55</v>
      </c>
      <c r="I10" s="1" t="s">
        <v>21</v>
      </c>
      <c r="J10" s="2">
        <f>Table1[[#This Row],[Price (PKR)]]*Table1[[#This Row],[Number Sold]]</f>
        <v>4072200</v>
      </c>
    </row>
    <row r="11" spans="1:14" ht="29" x14ac:dyDescent="0.35">
      <c r="A11">
        <v>1210</v>
      </c>
      <c r="B11" s="1" t="s">
        <v>37</v>
      </c>
      <c r="C11" s="2" t="s">
        <v>38</v>
      </c>
      <c r="D11" s="1" t="s">
        <v>39</v>
      </c>
      <c r="E11" s="2">
        <v>899</v>
      </c>
      <c r="F11" s="6">
        <v>18</v>
      </c>
      <c r="G11" s="2">
        <v>103</v>
      </c>
      <c r="H11" s="2">
        <v>2</v>
      </c>
      <c r="I11" s="1" t="s">
        <v>11</v>
      </c>
      <c r="J11" s="2">
        <f>Table1[[#This Row],[Price (PKR)]]*Table1[[#This Row],[Number Sold]]</f>
        <v>92597</v>
      </c>
    </row>
    <row r="12" spans="1:14" ht="29" x14ac:dyDescent="0.35">
      <c r="A12">
        <v>1211</v>
      </c>
      <c r="B12" s="1" t="s">
        <v>40</v>
      </c>
      <c r="C12" s="2" t="s">
        <v>41</v>
      </c>
      <c r="D12" s="1" t="s">
        <v>42</v>
      </c>
      <c r="E12" s="2">
        <v>835</v>
      </c>
      <c r="F12" s="6">
        <v>58</v>
      </c>
      <c r="G12" s="2">
        <v>5800</v>
      </c>
      <c r="H12" s="2">
        <v>11.78</v>
      </c>
      <c r="I12" s="1" t="s">
        <v>21</v>
      </c>
      <c r="J12" s="2">
        <f>Table1[[#This Row],[Price (PKR)]]*Table1[[#This Row],[Number Sold]]</f>
        <v>4843000</v>
      </c>
    </row>
    <row r="13" spans="1:14" ht="72.5" x14ac:dyDescent="0.35">
      <c r="A13">
        <v>1212</v>
      </c>
      <c r="B13" s="1" t="s">
        <v>43</v>
      </c>
      <c r="C13" s="2" t="s">
        <v>44</v>
      </c>
      <c r="D13" s="1" t="s">
        <v>45</v>
      </c>
      <c r="E13" s="2">
        <v>1199</v>
      </c>
      <c r="F13" s="6">
        <v>60</v>
      </c>
      <c r="G13" s="2">
        <v>511</v>
      </c>
      <c r="H13" s="2">
        <v>10</v>
      </c>
      <c r="I13" s="1" t="s">
        <v>21</v>
      </c>
      <c r="J13" s="2">
        <f>Table1[[#This Row],[Price (PKR)]]*Table1[[#This Row],[Number Sold]]</f>
        <v>612689</v>
      </c>
    </row>
    <row r="14" spans="1:14" ht="29" x14ac:dyDescent="0.35">
      <c r="A14">
        <v>1213</v>
      </c>
      <c r="B14" s="1" t="s">
        <v>46</v>
      </c>
      <c r="C14" s="2" t="s">
        <v>47</v>
      </c>
      <c r="D14" s="1" t="s">
        <v>48</v>
      </c>
      <c r="E14" s="2">
        <v>1161</v>
      </c>
      <c r="F14" s="6">
        <v>64</v>
      </c>
      <c r="G14" s="2">
        <v>6</v>
      </c>
      <c r="H14" s="2">
        <v>82</v>
      </c>
      <c r="I14" s="1" t="s">
        <v>21</v>
      </c>
      <c r="J14" s="2">
        <f>Table1[[#This Row],[Price (PKR)]]*Table1[[#This Row],[Number Sold]]</f>
        <v>6966</v>
      </c>
    </row>
    <row r="15" spans="1:14" ht="29" x14ac:dyDescent="0.35">
      <c r="A15">
        <v>1214</v>
      </c>
      <c r="B15" s="1" t="s">
        <v>49</v>
      </c>
      <c r="C15" s="2" t="s">
        <v>50</v>
      </c>
      <c r="D15" s="1" t="s">
        <v>51</v>
      </c>
      <c r="E15" s="2">
        <v>699</v>
      </c>
      <c r="F15" s="6">
        <v>46</v>
      </c>
      <c r="G15" s="2">
        <v>1500</v>
      </c>
      <c r="H15" s="2">
        <v>3.94</v>
      </c>
      <c r="I15" s="1" t="s">
        <v>21</v>
      </c>
      <c r="J15" s="2">
        <f>Table1[[#This Row],[Price (PKR)]]*Table1[[#This Row],[Number Sold]]</f>
        <v>1048500</v>
      </c>
    </row>
    <row r="16" spans="1:14" ht="43.5" x14ac:dyDescent="0.35">
      <c r="A16">
        <v>1215</v>
      </c>
      <c r="B16" s="1" t="s">
        <v>52</v>
      </c>
      <c r="C16" s="2" t="s">
        <v>53</v>
      </c>
      <c r="D16" s="1" t="s">
        <v>54</v>
      </c>
      <c r="E16" s="2">
        <v>1299</v>
      </c>
      <c r="F16" s="6">
        <v>48</v>
      </c>
      <c r="G16" s="2">
        <v>1200</v>
      </c>
      <c r="H16" s="2">
        <v>2.5299999999999998</v>
      </c>
      <c r="I16" s="1" t="s">
        <v>21</v>
      </c>
      <c r="J16" s="2">
        <f>Table1[[#This Row],[Price (PKR)]]*Table1[[#This Row],[Number Sold]]</f>
        <v>1558800</v>
      </c>
    </row>
    <row r="17" spans="1:10" ht="43.5" x14ac:dyDescent="0.35">
      <c r="A17">
        <v>1216</v>
      </c>
      <c r="B17" s="1" t="s">
        <v>52</v>
      </c>
      <c r="C17" s="2" t="s">
        <v>55</v>
      </c>
      <c r="D17" s="1" t="s">
        <v>56</v>
      </c>
      <c r="E17" s="2">
        <v>1299</v>
      </c>
      <c r="F17" s="6">
        <v>48</v>
      </c>
      <c r="G17" s="2">
        <v>1600</v>
      </c>
      <c r="H17" s="2">
        <v>3.45</v>
      </c>
      <c r="I17" s="1" t="s">
        <v>21</v>
      </c>
      <c r="J17" s="2">
        <f>Table1[[#This Row],[Price (PKR)]]*Table1[[#This Row],[Number Sold]]</f>
        <v>2078400</v>
      </c>
    </row>
    <row r="18" spans="1:10" ht="29" x14ac:dyDescent="0.35">
      <c r="A18">
        <v>1217</v>
      </c>
      <c r="B18" s="1" t="s">
        <v>57</v>
      </c>
      <c r="C18" s="2" t="s">
        <v>58</v>
      </c>
      <c r="D18" s="1" t="s">
        <v>59</v>
      </c>
      <c r="E18" s="2">
        <v>799</v>
      </c>
      <c r="F18" s="6">
        <v>33</v>
      </c>
      <c r="G18" s="2">
        <v>447</v>
      </c>
      <c r="H18" s="2">
        <v>9.9</v>
      </c>
      <c r="I18" s="1" t="s">
        <v>21</v>
      </c>
      <c r="J18" s="2">
        <f>Table1[[#This Row],[Price (PKR)]]*Table1[[#This Row],[Number Sold]]</f>
        <v>357153</v>
      </c>
    </row>
    <row r="19" spans="1:10" ht="29" x14ac:dyDescent="0.35">
      <c r="A19">
        <v>1218</v>
      </c>
      <c r="B19" s="1" t="s">
        <v>60</v>
      </c>
      <c r="C19" s="2" t="s">
        <v>61</v>
      </c>
      <c r="D19" s="1" t="s">
        <v>62</v>
      </c>
      <c r="E19" s="2">
        <v>699</v>
      </c>
      <c r="F19" s="6">
        <v>56</v>
      </c>
      <c r="G19" s="2">
        <v>89</v>
      </c>
      <c r="H19" s="2">
        <v>1.7</v>
      </c>
      <c r="I19" s="1" t="s">
        <v>21</v>
      </c>
      <c r="J19" s="2">
        <f>Table1[[#This Row],[Price (PKR)]]*Table1[[#This Row],[Number Sold]]</f>
        <v>62211</v>
      </c>
    </row>
    <row r="20" spans="1:10" ht="43.5" x14ac:dyDescent="0.35">
      <c r="A20">
        <v>1219</v>
      </c>
      <c r="B20" s="1" t="s">
        <v>63</v>
      </c>
      <c r="C20" s="2" t="s">
        <v>64</v>
      </c>
      <c r="D20" s="1" t="s">
        <v>65</v>
      </c>
      <c r="E20" s="2">
        <v>1299</v>
      </c>
      <c r="F20" s="6">
        <v>57</v>
      </c>
      <c r="G20" s="2">
        <v>607</v>
      </c>
      <c r="H20" s="2">
        <v>82</v>
      </c>
      <c r="I20" s="1" t="s">
        <v>21</v>
      </c>
      <c r="J20" s="2">
        <f>Table1[[#This Row],[Price (PKR)]]*Table1[[#This Row],[Number Sold]]</f>
        <v>788493</v>
      </c>
    </row>
    <row r="21" spans="1:10" ht="43.5" x14ac:dyDescent="0.35">
      <c r="A21">
        <v>1220</v>
      </c>
      <c r="B21" s="1" t="s">
        <v>66</v>
      </c>
      <c r="C21" s="2" t="s">
        <v>67</v>
      </c>
      <c r="D21" s="1" t="s">
        <v>68</v>
      </c>
      <c r="E21" s="2">
        <v>1299</v>
      </c>
      <c r="F21" s="6">
        <v>57</v>
      </c>
      <c r="G21" s="2">
        <v>24</v>
      </c>
      <c r="H21" s="2">
        <v>5</v>
      </c>
      <c r="I21" s="1" t="s">
        <v>21</v>
      </c>
      <c r="J21" s="2">
        <f>Table1[[#This Row],[Price (PKR)]]*Table1[[#This Row],[Number Sold]]</f>
        <v>31176</v>
      </c>
    </row>
    <row r="22" spans="1:10" ht="29" x14ac:dyDescent="0.35">
      <c r="A22">
        <v>1221</v>
      </c>
      <c r="B22" s="1" t="s">
        <v>69</v>
      </c>
      <c r="C22" s="2" t="s">
        <v>70</v>
      </c>
      <c r="D22" s="1" t="s">
        <v>71</v>
      </c>
      <c r="E22" s="2">
        <v>1299</v>
      </c>
      <c r="F22" s="6">
        <v>48</v>
      </c>
      <c r="G22" s="2">
        <v>962</v>
      </c>
      <c r="H22" s="2">
        <v>1.82</v>
      </c>
      <c r="I22" s="1" t="s">
        <v>21</v>
      </c>
      <c r="J22" s="2">
        <f>Table1[[#This Row],[Price (PKR)]]*Table1[[#This Row],[Number Sold]]</f>
        <v>1249638</v>
      </c>
    </row>
    <row r="23" spans="1:10" ht="29" x14ac:dyDescent="0.35">
      <c r="A23">
        <v>1222</v>
      </c>
      <c r="B23" s="1" t="s">
        <v>72</v>
      </c>
      <c r="C23" s="2" t="s">
        <v>73</v>
      </c>
      <c r="D23" s="1" t="s">
        <v>74</v>
      </c>
      <c r="E23" s="2">
        <v>1476</v>
      </c>
      <c r="F23" s="6">
        <v>36</v>
      </c>
      <c r="G23" s="2">
        <v>542</v>
      </c>
      <c r="H23" s="2">
        <v>12</v>
      </c>
      <c r="I23" s="1" t="s">
        <v>21</v>
      </c>
      <c r="J23" s="2">
        <f>Table1[[#This Row],[Price (PKR)]]*Table1[[#This Row],[Number Sold]]</f>
        <v>799992</v>
      </c>
    </row>
    <row r="24" spans="1:10" ht="29" x14ac:dyDescent="0.35">
      <c r="A24">
        <v>1223</v>
      </c>
      <c r="B24" s="1" t="s">
        <v>75</v>
      </c>
      <c r="C24" s="2" t="s">
        <v>76</v>
      </c>
      <c r="D24" s="1" t="s">
        <v>77</v>
      </c>
      <c r="E24" s="2">
        <v>1099</v>
      </c>
      <c r="F24" s="6">
        <v>45</v>
      </c>
      <c r="G24" s="2">
        <v>1400</v>
      </c>
      <c r="H24" s="2">
        <v>2.0699999999999998</v>
      </c>
      <c r="I24" s="1" t="s">
        <v>21</v>
      </c>
      <c r="J24" s="2">
        <f>Table1[[#This Row],[Price (PKR)]]*Table1[[#This Row],[Number Sold]]</f>
        <v>1538600</v>
      </c>
    </row>
    <row r="25" spans="1:10" ht="29" x14ac:dyDescent="0.35">
      <c r="A25">
        <v>1224</v>
      </c>
      <c r="B25" s="1" t="s">
        <v>34</v>
      </c>
      <c r="C25" s="2" t="s">
        <v>78</v>
      </c>
      <c r="D25" s="1" t="s">
        <v>79</v>
      </c>
      <c r="E25" s="2">
        <v>1399</v>
      </c>
      <c r="F25" s="6">
        <v>56</v>
      </c>
      <c r="G25" s="2">
        <v>526</v>
      </c>
      <c r="H25" s="2">
        <v>12.6</v>
      </c>
      <c r="I25" s="1" t="s">
        <v>21</v>
      </c>
      <c r="J25" s="2">
        <f>Table1[[#This Row],[Price (PKR)]]*Table1[[#This Row],[Number Sold]]</f>
        <v>735874</v>
      </c>
    </row>
    <row r="26" spans="1:10" ht="43.5" x14ac:dyDescent="0.35">
      <c r="A26">
        <v>1225</v>
      </c>
      <c r="B26" s="1" t="s">
        <v>80</v>
      </c>
      <c r="C26" s="2" t="s">
        <v>81</v>
      </c>
      <c r="D26" s="1" t="s">
        <v>82</v>
      </c>
      <c r="E26" s="2">
        <v>751</v>
      </c>
      <c r="F26" s="6">
        <v>62</v>
      </c>
      <c r="G26" s="2">
        <v>17200</v>
      </c>
      <c r="H26" s="2">
        <v>44.78</v>
      </c>
      <c r="I26" s="1" t="s">
        <v>21</v>
      </c>
      <c r="J26" s="2">
        <f>Table1[[#This Row],[Price (PKR)]]*Table1[[#This Row],[Number Sold]]</f>
        <v>12917200</v>
      </c>
    </row>
    <row r="27" spans="1:10" ht="43.5" x14ac:dyDescent="0.35">
      <c r="A27">
        <v>1226</v>
      </c>
      <c r="B27" s="1" t="s">
        <v>83</v>
      </c>
      <c r="C27" s="2" t="s">
        <v>84</v>
      </c>
      <c r="D27" s="1" t="s">
        <v>85</v>
      </c>
      <c r="E27" s="2">
        <v>1299</v>
      </c>
      <c r="F27" s="6">
        <v>57</v>
      </c>
      <c r="G27" s="2">
        <v>607</v>
      </c>
      <c r="H27" s="2">
        <v>82</v>
      </c>
      <c r="I27" s="1" t="s">
        <v>21</v>
      </c>
      <c r="J27" s="2">
        <f>Table1[[#This Row],[Price (PKR)]]*Table1[[#This Row],[Number Sold]]</f>
        <v>788493</v>
      </c>
    </row>
    <row r="28" spans="1:10" ht="43.5" x14ac:dyDescent="0.35">
      <c r="A28">
        <v>1227</v>
      </c>
      <c r="B28" s="1" t="s">
        <v>86</v>
      </c>
      <c r="C28" s="2" t="s">
        <v>87</v>
      </c>
      <c r="D28" s="1" t="s">
        <v>88</v>
      </c>
      <c r="E28" s="2">
        <v>1299</v>
      </c>
      <c r="F28" s="6">
        <v>35</v>
      </c>
      <c r="G28" s="2">
        <v>8</v>
      </c>
      <c r="H28" s="2">
        <v>3</v>
      </c>
      <c r="I28" s="1" t="s">
        <v>21</v>
      </c>
      <c r="J28" s="2">
        <f>Table1[[#This Row],[Price (PKR)]]*Table1[[#This Row],[Number Sold]]</f>
        <v>10392</v>
      </c>
    </row>
    <row r="29" spans="1:10" ht="43.5" x14ac:dyDescent="0.35">
      <c r="A29">
        <v>1228</v>
      </c>
      <c r="B29" s="1" t="s">
        <v>66</v>
      </c>
      <c r="C29" s="2" t="s">
        <v>89</v>
      </c>
      <c r="D29" s="1" t="s">
        <v>90</v>
      </c>
      <c r="E29" s="2">
        <v>1299</v>
      </c>
      <c r="F29" s="6">
        <v>48</v>
      </c>
      <c r="G29" s="2">
        <v>245</v>
      </c>
      <c r="H29" s="2">
        <v>4.9000000000000004</v>
      </c>
      <c r="I29" s="1" t="s">
        <v>21</v>
      </c>
      <c r="J29" s="2">
        <f>Table1[[#This Row],[Price (PKR)]]*Table1[[#This Row],[Number Sold]]</f>
        <v>318255</v>
      </c>
    </row>
    <row r="30" spans="1:10" ht="29" x14ac:dyDescent="0.35">
      <c r="A30">
        <v>1229</v>
      </c>
      <c r="B30" s="1" t="s">
        <v>91</v>
      </c>
      <c r="C30" s="2" t="s">
        <v>92</v>
      </c>
      <c r="D30" s="1" t="s">
        <v>93</v>
      </c>
      <c r="E30" s="2">
        <v>579</v>
      </c>
      <c r="F30" s="6">
        <v>52</v>
      </c>
      <c r="G30" s="2">
        <v>396</v>
      </c>
      <c r="H30" s="2">
        <v>9.1</v>
      </c>
      <c r="I30" s="1" t="s">
        <v>21</v>
      </c>
      <c r="J30" s="2">
        <f>Table1[[#This Row],[Price (PKR)]]*Table1[[#This Row],[Number Sold]]</f>
        <v>229284</v>
      </c>
    </row>
    <row r="31" spans="1:10" ht="29" x14ac:dyDescent="0.35">
      <c r="A31">
        <v>1230</v>
      </c>
      <c r="B31" s="1" t="s">
        <v>94</v>
      </c>
      <c r="C31" s="2" t="s">
        <v>95</v>
      </c>
      <c r="D31" s="1" t="s">
        <v>96</v>
      </c>
      <c r="E31" s="2">
        <v>699</v>
      </c>
      <c r="F31" s="6">
        <v>30</v>
      </c>
      <c r="G31" s="2">
        <v>1300</v>
      </c>
      <c r="H31" s="2">
        <v>16.5</v>
      </c>
      <c r="I31" s="1" t="s">
        <v>97</v>
      </c>
      <c r="J31" s="2">
        <f>Table1[[#This Row],[Price (PKR)]]*Table1[[#This Row],[Number Sold]]</f>
        <v>908700</v>
      </c>
    </row>
    <row r="32" spans="1:10" ht="29" x14ac:dyDescent="0.35">
      <c r="A32">
        <v>1231</v>
      </c>
      <c r="B32" s="1" t="s">
        <v>98</v>
      </c>
      <c r="C32" s="2" t="s">
        <v>99</v>
      </c>
      <c r="D32" s="1" t="s">
        <v>100</v>
      </c>
      <c r="E32" s="2">
        <v>1599</v>
      </c>
      <c r="F32" s="6">
        <v>47</v>
      </c>
      <c r="G32" s="2">
        <v>607</v>
      </c>
      <c r="H32" s="2">
        <v>82</v>
      </c>
      <c r="I32" s="1" t="s">
        <v>21</v>
      </c>
      <c r="J32" s="2">
        <f>Table1[[#This Row],[Price (PKR)]]*Table1[[#This Row],[Number Sold]]</f>
        <v>970593</v>
      </c>
    </row>
    <row r="33" spans="1:10" ht="58" x14ac:dyDescent="0.35">
      <c r="A33">
        <v>1232</v>
      </c>
      <c r="B33" s="1" t="s">
        <v>101</v>
      </c>
      <c r="C33" s="2" t="s">
        <v>102</v>
      </c>
      <c r="D33" s="1" t="s">
        <v>103</v>
      </c>
      <c r="E33" s="2">
        <v>1177</v>
      </c>
      <c r="F33" s="6">
        <v>41</v>
      </c>
      <c r="G33" s="2">
        <v>3100</v>
      </c>
      <c r="H33" s="2">
        <v>72</v>
      </c>
      <c r="I33" s="1" t="s">
        <v>21</v>
      </c>
      <c r="J33" s="2">
        <f>Table1[[#This Row],[Price (PKR)]]*Table1[[#This Row],[Number Sold]]</f>
        <v>3648700</v>
      </c>
    </row>
    <row r="34" spans="1:10" ht="43.5" x14ac:dyDescent="0.35">
      <c r="A34">
        <v>1233</v>
      </c>
      <c r="B34" s="1" t="s">
        <v>104</v>
      </c>
      <c r="C34" s="2" t="s">
        <v>105</v>
      </c>
      <c r="D34" s="1" t="s">
        <v>106</v>
      </c>
      <c r="E34" s="2">
        <v>845</v>
      </c>
      <c r="F34" s="6">
        <v>58</v>
      </c>
      <c r="G34" s="2">
        <v>6000</v>
      </c>
      <c r="H34" s="2">
        <v>102.7</v>
      </c>
      <c r="I34" s="1" t="s">
        <v>21</v>
      </c>
      <c r="J34" s="2">
        <f>Table1[[#This Row],[Price (PKR)]]*Table1[[#This Row],[Number Sold]]</f>
        <v>5070000</v>
      </c>
    </row>
    <row r="35" spans="1:10" ht="43.5" x14ac:dyDescent="0.35">
      <c r="A35">
        <v>1234</v>
      </c>
      <c r="B35" s="1" t="s">
        <v>52</v>
      </c>
      <c r="C35" s="2" t="s">
        <v>107</v>
      </c>
      <c r="D35" s="1" t="s">
        <v>45</v>
      </c>
      <c r="E35" s="2">
        <v>1299</v>
      </c>
      <c r="F35" s="6">
        <v>50</v>
      </c>
      <c r="G35" s="2">
        <v>11</v>
      </c>
      <c r="H35" s="2">
        <v>1</v>
      </c>
      <c r="I35" s="1" t="s">
        <v>21</v>
      </c>
      <c r="J35" s="2">
        <f>Table1[[#This Row],[Price (PKR)]]*Table1[[#This Row],[Number Sold]]</f>
        <v>14289</v>
      </c>
    </row>
    <row r="36" spans="1:10" ht="43.5" x14ac:dyDescent="0.35">
      <c r="A36">
        <v>1235</v>
      </c>
      <c r="B36" s="1" t="s">
        <v>108</v>
      </c>
      <c r="C36" s="2" t="s">
        <v>109</v>
      </c>
      <c r="D36" s="1" t="s">
        <v>110</v>
      </c>
      <c r="E36" s="2">
        <v>1299</v>
      </c>
      <c r="F36" s="6">
        <v>48</v>
      </c>
      <c r="G36" s="2">
        <v>73</v>
      </c>
      <c r="H36" s="2">
        <v>1.5</v>
      </c>
      <c r="I36" s="1" t="s">
        <v>21</v>
      </c>
      <c r="J36" s="2">
        <f>Table1[[#This Row],[Price (PKR)]]*Table1[[#This Row],[Number Sold]]</f>
        <v>94827</v>
      </c>
    </row>
    <row r="37" spans="1:10" ht="29" x14ac:dyDescent="0.35">
      <c r="A37">
        <v>1236</v>
      </c>
      <c r="B37" s="1" t="s">
        <v>111</v>
      </c>
      <c r="C37" s="2" t="s">
        <v>112</v>
      </c>
      <c r="D37" s="1" t="s">
        <v>113</v>
      </c>
      <c r="E37" s="2">
        <v>1399</v>
      </c>
      <c r="F37" s="6">
        <v>72</v>
      </c>
      <c r="G37" s="2">
        <v>607</v>
      </c>
      <c r="H37" s="2">
        <v>82</v>
      </c>
      <c r="I37" s="1" t="s">
        <v>21</v>
      </c>
      <c r="J37" s="2">
        <f>Table1[[#This Row],[Price (PKR)]]*Table1[[#This Row],[Number Sold]]</f>
        <v>849193</v>
      </c>
    </row>
    <row r="38" spans="1:10" ht="29" x14ac:dyDescent="0.35">
      <c r="A38">
        <v>1237</v>
      </c>
      <c r="B38" s="1" t="s">
        <v>69</v>
      </c>
      <c r="C38" s="2" t="s">
        <v>114</v>
      </c>
      <c r="D38" s="1" t="s">
        <v>115</v>
      </c>
      <c r="E38" s="2">
        <v>1299</v>
      </c>
      <c r="F38" s="6">
        <v>48</v>
      </c>
      <c r="G38" s="2">
        <v>25</v>
      </c>
      <c r="H38" s="2">
        <v>1</v>
      </c>
      <c r="I38" s="1" t="s">
        <v>21</v>
      </c>
      <c r="J38" s="2">
        <f>Table1[[#This Row],[Price (PKR)]]*Table1[[#This Row],[Number Sold]]</f>
        <v>32475</v>
      </c>
    </row>
    <row r="39" spans="1:10" ht="43.5" x14ac:dyDescent="0.35">
      <c r="A39">
        <v>1238</v>
      </c>
      <c r="B39" s="1" t="s">
        <v>83</v>
      </c>
      <c r="C39" s="2" t="s">
        <v>116</v>
      </c>
      <c r="D39" s="1" t="s">
        <v>117</v>
      </c>
      <c r="E39" s="2">
        <v>1169</v>
      </c>
      <c r="F39" s="6">
        <v>61</v>
      </c>
      <c r="G39" s="2">
        <v>7</v>
      </c>
      <c r="H39" s="2">
        <v>82</v>
      </c>
      <c r="I39" s="1" t="s">
        <v>21</v>
      </c>
      <c r="J39" s="2">
        <f>Table1[[#This Row],[Price (PKR)]]*Table1[[#This Row],[Number Sold]]</f>
        <v>8183</v>
      </c>
    </row>
    <row r="40" spans="1:10" ht="29" x14ac:dyDescent="0.35">
      <c r="A40">
        <v>1239</v>
      </c>
      <c r="B40" s="1" t="s">
        <v>118</v>
      </c>
      <c r="C40" s="2" t="s">
        <v>119</v>
      </c>
      <c r="D40" s="1" t="s">
        <v>120</v>
      </c>
      <c r="E40" s="2">
        <v>534</v>
      </c>
      <c r="F40" s="6">
        <v>67</v>
      </c>
      <c r="G40" s="2">
        <v>56</v>
      </c>
      <c r="H40" s="2">
        <v>8</v>
      </c>
      <c r="I40" s="1" t="s">
        <v>21</v>
      </c>
      <c r="J40" s="2">
        <f>Table1[[#This Row],[Price (PKR)]]*Table1[[#This Row],[Number Sold]]</f>
        <v>29904</v>
      </c>
    </row>
    <row r="41" spans="1:10" ht="43.5" x14ac:dyDescent="0.35">
      <c r="A41">
        <v>1240</v>
      </c>
      <c r="B41" s="1" t="s">
        <v>121</v>
      </c>
      <c r="C41" s="2" t="s">
        <v>122</v>
      </c>
      <c r="D41" s="1" t="s">
        <v>123</v>
      </c>
      <c r="E41" s="2">
        <v>1299</v>
      </c>
      <c r="F41" s="6">
        <v>57</v>
      </c>
      <c r="G41" s="2">
        <v>607</v>
      </c>
      <c r="H41" s="2">
        <v>82</v>
      </c>
      <c r="I41" s="1" t="s">
        <v>21</v>
      </c>
      <c r="J41" s="2">
        <f>Table1[[#This Row],[Price (PKR)]]*Table1[[#This Row],[Number Sold]]</f>
        <v>788493</v>
      </c>
    </row>
    <row r="42" spans="1:10" ht="29" x14ac:dyDescent="0.35">
      <c r="A42">
        <v>1241</v>
      </c>
      <c r="B42" s="1" t="s">
        <v>124</v>
      </c>
      <c r="C42" s="2" t="s">
        <v>125</v>
      </c>
      <c r="D42" s="1" t="s">
        <v>126</v>
      </c>
      <c r="E42" s="2">
        <v>1649</v>
      </c>
      <c r="F42" s="6">
        <v>18</v>
      </c>
      <c r="G42" s="2">
        <v>607</v>
      </c>
      <c r="H42" s="2">
        <v>1</v>
      </c>
      <c r="I42" s="1" t="s">
        <v>11</v>
      </c>
      <c r="J42" s="2">
        <f>Table1[[#This Row],[Price (PKR)]]*Table1[[#This Row],[Number Sold]]</f>
        <v>1000943</v>
      </c>
    </row>
    <row r="43" spans="1:10" ht="29" x14ac:dyDescent="0.35">
      <c r="A43">
        <v>1242</v>
      </c>
      <c r="B43" s="1" t="s">
        <v>127</v>
      </c>
      <c r="C43" s="2" t="s">
        <v>128</v>
      </c>
      <c r="D43" s="1" t="s">
        <v>129</v>
      </c>
      <c r="E43" s="2">
        <v>5000</v>
      </c>
      <c r="F43" s="6">
        <v>47</v>
      </c>
      <c r="G43" s="2">
        <v>858</v>
      </c>
      <c r="H43" s="2">
        <v>126</v>
      </c>
      <c r="I43" s="1" t="s">
        <v>11</v>
      </c>
      <c r="J43" s="2">
        <f>Table1[[#This Row],[Price (PKR)]]*Table1[[#This Row],[Number Sold]]</f>
        <v>4290000</v>
      </c>
    </row>
    <row r="44" spans="1:10" ht="29" x14ac:dyDescent="0.35">
      <c r="A44">
        <v>1243</v>
      </c>
      <c r="B44" s="1" t="s">
        <v>130</v>
      </c>
      <c r="C44" s="2" t="s">
        <v>131</v>
      </c>
      <c r="D44" s="1" t="s">
        <v>132</v>
      </c>
      <c r="E44" s="2">
        <v>3478</v>
      </c>
      <c r="F44" s="6">
        <v>30</v>
      </c>
      <c r="G44" s="2">
        <v>607</v>
      </c>
      <c r="H44" s="2">
        <v>82</v>
      </c>
      <c r="I44" s="1" t="s">
        <v>11</v>
      </c>
      <c r="J44" s="2">
        <f>Table1[[#This Row],[Price (PKR)]]*Table1[[#This Row],[Number Sold]]</f>
        <v>2111146</v>
      </c>
    </row>
    <row r="45" spans="1:10" ht="58" x14ac:dyDescent="0.35">
      <c r="A45">
        <v>1244</v>
      </c>
      <c r="B45" s="1" t="s">
        <v>133</v>
      </c>
      <c r="C45" s="2" t="s">
        <v>134</v>
      </c>
      <c r="D45" s="1" t="s">
        <v>135</v>
      </c>
      <c r="E45" s="2">
        <v>1499</v>
      </c>
      <c r="F45" s="6">
        <v>47</v>
      </c>
      <c r="G45" s="2">
        <v>607</v>
      </c>
      <c r="H45" s="2">
        <v>82</v>
      </c>
      <c r="I45" s="1" t="s">
        <v>11</v>
      </c>
      <c r="J45" s="2">
        <f>Table1[[#This Row],[Price (PKR)]]*Table1[[#This Row],[Number Sold]]</f>
        <v>909893</v>
      </c>
    </row>
    <row r="46" spans="1:10" ht="29" x14ac:dyDescent="0.35">
      <c r="A46">
        <v>1245</v>
      </c>
      <c r="B46" s="1" t="s">
        <v>69</v>
      </c>
      <c r="C46" s="2" t="s">
        <v>136</v>
      </c>
      <c r="D46" s="1" t="s">
        <v>137</v>
      </c>
      <c r="E46" s="2">
        <v>6999</v>
      </c>
      <c r="F46" s="6">
        <v>47</v>
      </c>
      <c r="G46" s="2">
        <v>607</v>
      </c>
      <c r="H46" s="2">
        <v>82</v>
      </c>
      <c r="I46" s="1" t="s">
        <v>11</v>
      </c>
      <c r="J46" s="2">
        <f>Table1[[#This Row],[Price (PKR)]]*Table1[[#This Row],[Number Sold]]</f>
        <v>4248393</v>
      </c>
    </row>
    <row r="47" spans="1:10" ht="43.5" x14ac:dyDescent="0.35">
      <c r="A47">
        <v>1246</v>
      </c>
      <c r="B47" s="1" t="s">
        <v>138</v>
      </c>
      <c r="C47" s="2" t="s">
        <v>139</v>
      </c>
      <c r="D47" s="1" t="s">
        <v>140</v>
      </c>
      <c r="E47" s="2">
        <v>3386</v>
      </c>
      <c r="F47" s="6">
        <v>58</v>
      </c>
      <c r="G47" s="2">
        <v>5</v>
      </c>
      <c r="H47" s="2">
        <v>3</v>
      </c>
      <c r="I47" s="1" t="s">
        <v>11</v>
      </c>
      <c r="J47" s="2">
        <f>Table1[[#This Row],[Price (PKR)]]*Table1[[#This Row],[Number Sold]]</f>
        <v>16930</v>
      </c>
    </row>
    <row r="48" spans="1:10" ht="29" x14ac:dyDescent="0.35">
      <c r="A48">
        <v>1247</v>
      </c>
      <c r="B48" s="1" t="s">
        <v>141</v>
      </c>
      <c r="C48" s="2" t="s">
        <v>142</v>
      </c>
      <c r="D48" s="1" t="s">
        <v>143</v>
      </c>
      <c r="E48" s="2">
        <v>1499</v>
      </c>
      <c r="F48" s="6">
        <v>35</v>
      </c>
      <c r="G48" s="2">
        <v>16</v>
      </c>
      <c r="H48" s="2">
        <v>4</v>
      </c>
      <c r="I48" s="1" t="s">
        <v>21</v>
      </c>
      <c r="J48" s="2">
        <f>Table1[[#This Row],[Price (PKR)]]*Table1[[#This Row],[Number Sold]]</f>
        <v>23984</v>
      </c>
    </row>
    <row r="49" spans="1:10" ht="58" x14ac:dyDescent="0.35">
      <c r="A49">
        <v>1248</v>
      </c>
      <c r="B49" s="1" t="s">
        <v>144</v>
      </c>
      <c r="C49" s="2" t="s">
        <v>145</v>
      </c>
      <c r="D49" s="1" t="s">
        <v>146</v>
      </c>
      <c r="E49" s="2">
        <v>5810</v>
      </c>
      <c r="F49" s="6">
        <v>35</v>
      </c>
      <c r="G49" s="2">
        <v>607</v>
      </c>
      <c r="H49" s="2">
        <v>82</v>
      </c>
      <c r="I49" s="1" t="s">
        <v>11</v>
      </c>
      <c r="J49" s="2">
        <f>Table1[[#This Row],[Price (PKR)]]*Table1[[#This Row],[Number Sold]]</f>
        <v>3526670</v>
      </c>
    </row>
    <row r="50" spans="1:10" ht="29" x14ac:dyDescent="0.35">
      <c r="A50">
        <v>1249</v>
      </c>
      <c r="B50" s="1" t="s">
        <v>147</v>
      </c>
      <c r="C50" s="2" t="s">
        <v>148</v>
      </c>
      <c r="D50" s="1" t="s">
        <v>149</v>
      </c>
      <c r="E50" s="2">
        <v>1498</v>
      </c>
      <c r="F50" s="6">
        <v>70</v>
      </c>
      <c r="G50" s="2">
        <v>15</v>
      </c>
      <c r="H50" s="2">
        <v>4</v>
      </c>
      <c r="I50" s="1" t="s">
        <v>21</v>
      </c>
      <c r="J50" s="2">
        <f>Table1[[#This Row],[Price (PKR)]]*Table1[[#This Row],[Number Sold]]</f>
        <v>22470</v>
      </c>
    </row>
    <row r="51" spans="1:10" ht="29" x14ac:dyDescent="0.35">
      <c r="A51">
        <v>1250</v>
      </c>
      <c r="B51" s="1" t="s">
        <v>150</v>
      </c>
      <c r="C51" s="2" t="s">
        <v>151</v>
      </c>
      <c r="D51" s="1" t="s">
        <v>152</v>
      </c>
      <c r="E51" s="2">
        <v>899</v>
      </c>
      <c r="F51" s="6">
        <v>18</v>
      </c>
      <c r="G51" s="2">
        <v>360</v>
      </c>
      <c r="H51" s="2">
        <v>88</v>
      </c>
      <c r="I51" s="1" t="s">
        <v>11</v>
      </c>
      <c r="J51" s="2">
        <f>Table1[[#This Row],[Price (PKR)]]*Table1[[#This Row],[Number Sold]]</f>
        <v>323640</v>
      </c>
    </row>
    <row r="52" spans="1:10" ht="29" x14ac:dyDescent="0.35">
      <c r="A52">
        <v>1251</v>
      </c>
      <c r="B52" s="1" t="s">
        <v>153</v>
      </c>
      <c r="C52" s="2" t="s">
        <v>154</v>
      </c>
      <c r="D52" s="1" t="s">
        <v>155</v>
      </c>
      <c r="E52" s="2">
        <v>899</v>
      </c>
      <c r="F52" s="6">
        <v>18</v>
      </c>
      <c r="G52" s="2">
        <v>14</v>
      </c>
      <c r="H52" s="2">
        <v>4</v>
      </c>
      <c r="I52" s="1" t="s">
        <v>11</v>
      </c>
      <c r="J52" s="2">
        <f>Table1[[#This Row],[Price (PKR)]]*Table1[[#This Row],[Number Sold]]</f>
        <v>12586</v>
      </c>
    </row>
    <row r="53" spans="1:10" ht="43.5" x14ac:dyDescent="0.35">
      <c r="A53">
        <v>1252</v>
      </c>
      <c r="B53" s="1" t="s">
        <v>156</v>
      </c>
      <c r="C53" s="2" t="s">
        <v>157</v>
      </c>
      <c r="D53" s="1" t="s">
        <v>158</v>
      </c>
      <c r="E53" s="2">
        <v>2418</v>
      </c>
      <c r="F53" s="6">
        <v>60</v>
      </c>
      <c r="G53" s="2">
        <v>18</v>
      </c>
      <c r="H53" s="2">
        <v>5</v>
      </c>
      <c r="I53" s="1" t="s">
        <v>11</v>
      </c>
      <c r="J53" s="2">
        <f>Table1[[#This Row],[Price (PKR)]]*Table1[[#This Row],[Number Sold]]</f>
        <v>43524</v>
      </c>
    </row>
    <row r="54" spans="1:10" ht="29" x14ac:dyDescent="0.35">
      <c r="A54">
        <v>1253</v>
      </c>
      <c r="B54" s="1" t="s">
        <v>159</v>
      </c>
      <c r="C54" s="2" t="s">
        <v>160</v>
      </c>
      <c r="D54" s="1" t="s">
        <v>161</v>
      </c>
      <c r="E54" s="2">
        <v>549</v>
      </c>
      <c r="F54" s="6">
        <v>63</v>
      </c>
      <c r="G54" s="2">
        <v>1500</v>
      </c>
      <c r="H54" s="2">
        <v>353</v>
      </c>
      <c r="I54" s="1" t="s">
        <v>21</v>
      </c>
      <c r="J54" s="2">
        <f>Table1[[#This Row],[Price (PKR)]]*Table1[[#This Row],[Number Sold]]</f>
        <v>823500</v>
      </c>
    </row>
    <row r="55" spans="1:10" ht="29" x14ac:dyDescent="0.35">
      <c r="A55">
        <v>1254</v>
      </c>
      <c r="B55" s="1" t="s">
        <v>162</v>
      </c>
      <c r="C55" s="2" t="s">
        <v>163</v>
      </c>
      <c r="D55" s="1" t="s">
        <v>164</v>
      </c>
      <c r="E55" s="2">
        <v>679</v>
      </c>
      <c r="F55" s="6">
        <v>66</v>
      </c>
      <c r="G55" s="2">
        <v>1500</v>
      </c>
      <c r="H55" s="2">
        <v>321</v>
      </c>
      <c r="I55" s="1" t="s">
        <v>21</v>
      </c>
      <c r="J55" s="2">
        <f>Table1[[#This Row],[Price (PKR)]]*Table1[[#This Row],[Number Sold]]</f>
        <v>1018500</v>
      </c>
    </row>
    <row r="56" spans="1:10" ht="29" x14ac:dyDescent="0.35">
      <c r="A56">
        <v>1255</v>
      </c>
      <c r="B56" s="1" t="s">
        <v>165</v>
      </c>
      <c r="C56" s="2" t="s">
        <v>166</v>
      </c>
      <c r="D56" s="1" t="s">
        <v>167</v>
      </c>
      <c r="E56" s="2">
        <v>1499</v>
      </c>
      <c r="F56" s="6">
        <v>47</v>
      </c>
      <c r="G56" s="2">
        <v>34</v>
      </c>
      <c r="H56" s="2">
        <v>3</v>
      </c>
      <c r="I56" s="1" t="s">
        <v>21</v>
      </c>
      <c r="J56" s="2">
        <f>Table1[[#This Row],[Price (PKR)]]*Table1[[#This Row],[Number Sold]]</f>
        <v>50966</v>
      </c>
    </row>
    <row r="57" spans="1:10" ht="29" x14ac:dyDescent="0.35">
      <c r="A57">
        <v>1256</v>
      </c>
      <c r="B57" s="1" t="s">
        <v>168</v>
      </c>
      <c r="C57" s="2" t="s">
        <v>169</v>
      </c>
      <c r="D57" s="1" t="s">
        <v>170</v>
      </c>
      <c r="E57" s="2">
        <v>1169</v>
      </c>
      <c r="F57" s="6">
        <v>53</v>
      </c>
      <c r="G57" s="2">
        <v>29</v>
      </c>
      <c r="H57" s="2">
        <v>6</v>
      </c>
      <c r="I57" s="1" t="s">
        <v>21</v>
      </c>
      <c r="J57" s="2">
        <f>Table1[[#This Row],[Price (PKR)]]*Table1[[#This Row],[Number Sold]]</f>
        <v>33901</v>
      </c>
    </row>
    <row r="58" spans="1:10" ht="43.5" x14ac:dyDescent="0.35">
      <c r="A58">
        <v>1257</v>
      </c>
      <c r="B58" s="1" t="s">
        <v>52</v>
      </c>
      <c r="C58" s="2" t="s">
        <v>171</v>
      </c>
      <c r="D58" s="1" t="s">
        <v>172</v>
      </c>
      <c r="E58" s="2">
        <v>1402</v>
      </c>
      <c r="F58" s="6">
        <v>30</v>
      </c>
      <c r="G58" s="2">
        <v>320</v>
      </c>
      <c r="H58" s="2">
        <v>87</v>
      </c>
      <c r="I58" s="1" t="s">
        <v>21</v>
      </c>
      <c r="J58" s="2">
        <f>Table1[[#This Row],[Price (PKR)]]*Table1[[#This Row],[Number Sold]]</f>
        <v>448640</v>
      </c>
    </row>
    <row r="59" spans="1:10" ht="29" x14ac:dyDescent="0.35">
      <c r="A59">
        <v>1258</v>
      </c>
      <c r="B59" s="1" t="s">
        <v>173</v>
      </c>
      <c r="C59" s="2" t="s">
        <v>174</v>
      </c>
      <c r="D59" s="1" t="s">
        <v>175</v>
      </c>
      <c r="E59" s="2">
        <v>799</v>
      </c>
      <c r="F59" s="6">
        <v>58</v>
      </c>
      <c r="G59" s="2">
        <v>2900</v>
      </c>
      <c r="H59" s="2">
        <v>686</v>
      </c>
      <c r="I59" s="1" t="s">
        <v>21</v>
      </c>
      <c r="J59" s="2">
        <f>Table1[[#This Row],[Price (PKR)]]*Table1[[#This Row],[Number Sold]]</f>
        <v>2317100</v>
      </c>
    </row>
    <row r="60" spans="1:10" ht="29" x14ac:dyDescent="0.35">
      <c r="A60">
        <v>1259</v>
      </c>
      <c r="B60" s="1" t="s">
        <v>162</v>
      </c>
      <c r="C60" s="2" t="s">
        <v>176</v>
      </c>
      <c r="D60" s="1" t="s">
        <v>177</v>
      </c>
      <c r="E60" s="2">
        <v>749</v>
      </c>
      <c r="F60" s="6">
        <v>63</v>
      </c>
      <c r="G60" s="2">
        <v>3400</v>
      </c>
      <c r="H60" s="2">
        <v>725</v>
      </c>
      <c r="I60" s="1" t="s">
        <v>21</v>
      </c>
      <c r="J60" s="2">
        <f>Table1[[#This Row],[Price (PKR)]]*Table1[[#This Row],[Number Sold]]</f>
        <v>2546600</v>
      </c>
    </row>
    <row r="61" spans="1:10" ht="43.5" x14ac:dyDescent="0.35">
      <c r="A61">
        <v>1260</v>
      </c>
      <c r="B61" s="1" t="s">
        <v>178</v>
      </c>
      <c r="C61" s="2" t="s">
        <v>179</v>
      </c>
      <c r="D61" s="1" t="s">
        <v>180</v>
      </c>
      <c r="E61" s="2">
        <v>999</v>
      </c>
      <c r="F61" s="6">
        <v>50</v>
      </c>
      <c r="G61" s="2">
        <v>607</v>
      </c>
      <c r="H61" s="2">
        <v>82</v>
      </c>
      <c r="I61" s="1" t="s">
        <v>11</v>
      </c>
      <c r="J61" s="2">
        <f>Table1[[#This Row],[Price (PKR)]]*Table1[[#This Row],[Number Sold]]</f>
        <v>606393</v>
      </c>
    </row>
    <row r="62" spans="1:10" ht="72.5" x14ac:dyDescent="0.35">
      <c r="A62">
        <v>1261</v>
      </c>
      <c r="B62" s="1" t="s">
        <v>31</v>
      </c>
      <c r="C62" s="2" t="s">
        <v>181</v>
      </c>
      <c r="D62" s="1" t="s">
        <v>182</v>
      </c>
      <c r="E62" s="2">
        <v>749</v>
      </c>
      <c r="F62" s="6">
        <v>61</v>
      </c>
      <c r="G62" s="2">
        <v>10</v>
      </c>
      <c r="H62" s="2">
        <v>0</v>
      </c>
      <c r="I62" s="1" t="s">
        <v>11</v>
      </c>
      <c r="J62" s="2">
        <f>Table1[[#This Row],[Price (PKR)]]*Table1[[#This Row],[Number Sold]]</f>
        <v>7490</v>
      </c>
    </row>
    <row r="63" spans="1:10" ht="29" x14ac:dyDescent="0.35">
      <c r="A63">
        <v>1262</v>
      </c>
      <c r="B63" s="1" t="s">
        <v>183</v>
      </c>
      <c r="C63" s="2" t="s">
        <v>184</v>
      </c>
      <c r="D63" s="1" t="s">
        <v>185</v>
      </c>
      <c r="E63" s="2">
        <v>10500</v>
      </c>
      <c r="F63" s="6">
        <v>47</v>
      </c>
      <c r="G63" s="2">
        <v>607</v>
      </c>
      <c r="H63" s="2">
        <v>82</v>
      </c>
      <c r="I63" s="1" t="s">
        <v>21</v>
      </c>
      <c r="J63" s="2">
        <f>Table1[[#This Row],[Price (PKR)]]*Table1[[#This Row],[Number Sold]]</f>
        <v>6373500</v>
      </c>
    </row>
    <row r="64" spans="1:10" ht="29" x14ac:dyDescent="0.35">
      <c r="A64">
        <v>1263</v>
      </c>
      <c r="B64" s="1" t="s">
        <v>186</v>
      </c>
      <c r="C64" s="2" t="s">
        <v>187</v>
      </c>
      <c r="D64" s="1" t="s">
        <v>188</v>
      </c>
      <c r="E64" s="2">
        <v>5500</v>
      </c>
      <c r="F64" s="6">
        <v>47</v>
      </c>
      <c r="G64" s="2">
        <v>607</v>
      </c>
      <c r="H64" s="2">
        <v>82</v>
      </c>
      <c r="I64" s="1" t="s">
        <v>97</v>
      </c>
      <c r="J64" s="2">
        <f>Table1[[#This Row],[Price (PKR)]]*Table1[[#This Row],[Number Sold]]</f>
        <v>3338500</v>
      </c>
    </row>
    <row r="65" spans="1:10" ht="29" x14ac:dyDescent="0.35">
      <c r="A65">
        <v>1264</v>
      </c>
      <c r="B65" s="1" t="s">
        <v>94</v>
      </c>
      <c r="C65" s="2" t="s">
        <v>189</v>
      </c>
      <c r="D65" s="1" t="s">
        <v>190</v>
      </c>
      <c r="E65" s="2">
        <v>999</v>
      </c>
      <c r="F65" s="6">
        <v>47</v>
      </c>
      <c r="G65" s="2">
        <v>17</v>
      </c>
      <c r="H65" s="2">
        <v>2</v>
      </c>
      <c r="I65" s="1" t="s">
        <v>97</v>
      </c>
      <c r="J65" s="2">
        <f>Table1[[#This Row],[Price (PKR)]]*Table1[[#This Row],[Number Sold]]</f>
        <v>16983</v>
      </c>
    </row>
    <row r="66" spans="1:10" ht="29" x14ac:dyDescent="0.35">
      <c r="A66">
        <v>1265</v>
      </c>
      <c r="B66" s="1" t="s">
        <v>162</v>
      </c>
      <c r="C66" s="2" t="s">
        <v>191</v>
      </c>
      <c r="D66" s="1" t="s">
        <v>192</v>
      </c>
      <c r="E66" s="2">
        <v>889</v>
      </c>
      <c r="F66" s="6">
        <v>56</v>
      </c>
      <c r="G66" s="2">
        <v>465</v>
      </c>
      <c r="H66" s="2">
        <v>111</v>
      </c>
      <c r="I66" s="1" t="s">
        <v>21</v>
      </c>
      <c r="J66" s="2">
        <f>Table1[[#This Row],[Price (PKR)]]*Table1[[#This Row],[Number Sold]]</f>
        <v>413385</v>
      </c>
    </row>
    <row r="67" spans="1:10" ht="29" x14ac:dyDescent="0.35">
      <c r="A67">
        <v>1266</v>
      </c>
      <c r="B67" s="1" t="s">
        <v>162</v>
      </c>
      <c r="C67" s="2" t="s">
        <v>193</v>
      </c>
      <c r="D67" s="1" t="s">
        <v>194</v>
      </c>
      <c r="E67" s="2">
        <v>789</v>
      </c>
      <c r="F67" s="6">
        <v>61</v>
      </c>
      <c r="G67" s="2">
        <v>653</v>
      </c>
      <c r="H67" s="2">
        <v>171</v>
      </c>
      <c r="I67" s="1" t="s">
        <v>21</v>
      </c>
      <c r="J67" s="2">
        <f>Table1[[#This Row],[Price (PKR)]]*Table1[[#This Row],[Number Sold]]</f>
        <v>515217</v>
      </c>
    </row>
    <row r="68" spans="1:10" ht="43.5" x14ac:dyDescent="0.35">
      <c r="A68">
        <v>1267</v>
      </c>
      <c r="B68" s="1" t="s">
        <v>195</v>
      </c>
      <c r="C68" s="2" t="s">
        <v>196</v>
      </c>
      <c r="D68" s="1" t="s">
        <v>197</v>
      </c>
      <c r="E68" s="2">
        <v>1353</v>
      </c>
      <c r="F68" s="6">
        <v>55</v>
      </c>
      <c r="G68" s="2">
        <v>143</v>
      </c>
      <c r="H68" s="2">
        <v>41</v>
      </c>
      <c r="I68" s="1" t="s">
        <v>21</v>
      </c>
      <c r="J68" s="2">
        <f>Table1[[#This Row],[Price (PKR)]]*Table1[[#This Row],[Number Sold]]</f>
        <v>193479</v>
      </c>
    </row>
    <row r="69" spans="1:10" ht="29" x14ac:dyDescent="0.35">
      <c r="A69">
        <v>1268</v>
      </c>
      <c r="B69" s="1" t="s">
        <v>198</v>
      </c>
      <c r="C69" s="2" t="s">
        <v>199</v>
      </c>
      <c r="D69" s="1" t="s">
        <v>200</v>
      </c>
      <c r="E69" s="2">
        <v>699</v>
      </c>
      <c r="F69" s="6">
        <v>65</v>
      </c>
      <c r="G69" s="2">
        <v>606</v>
      </c>
      <c r="H69" s="2">
        <v>119</v>
      </c>
      <c r="I69" s="1" t="s">
        <v>21</v>
      </c>
      <c r="J69" s="2">
        <f>Table1[[#This Row],[Price (PKR)]]*Table1[[#This Row],[Number Sold]]</f>
        <v>423594</v>
      </c>
    </row>
    <row r="70" spans="1:10" ht="29" x14ac:dyDescent="0.35">
      <c r="A70">
        <v>1269</v>
      </c>
      <c r="B70" s="1" t="s">
        <v>201</v>
      </c>
      <c r="C70" s="2" t="s">
        <v>202</v>
      </c>
      <c r="D70" s="1" t="s">
        <v>203</v>
      </c>
      <c r="E70" s="2">
        <v>3750</v>
      </c>
      <c r="F70" s="6">
        <v>32</v>
      </c>
      <c r="G70" s="2">
        <v>607</v>
      </c>
      <c r="H70" s="2">
        <v>82</v>
      </c>
      <c r="I70" s="1" t="s">
        <v>21</v>
      </c>
      <c r="J70" s="2">
        <f>Table1[[#This Row],[Price (PKR)]]*Table1[[#This Row],[Number Sold]]</f>
        <v>2276250</v>
      </c>
    </row>
    <row r="71" spans="1:10" ht="29" x14ac:dyDescent="0.35">
      <c r="A71">
        <v>1270</v>
      </c>
      <c r="B71" s="1" t="s">
        <v>204</v>
      </c>
      <c r="C71" s="2" t="s">
        <v>205</v>
      </c>
      <c r="D71" s="1" t="s">
        <v>206</v>
      </c>
      <c r="E71" s="2">
        <v>3299</v>
      </c>
      <c r="F71" s="6">
        <v>57</v>
      </c>
      <c r="G71" s="2">
        <v>607</v>
      </c>
      <c r="H71" s="2">
        <v>82</v>
      </c>
      <c r="I71" s="1" t="s">
        <v>21</v>
      </c>
      <c r="J71" s="2">
        <f>Table1[[#This Row],[Price (PKR)]]*Table1[[#This Row],[Number Sold]]</f>
        <v>2002493</v>
      </c>
    </row>
    <row r="72" spans="1:10" ht="43.5" x14ac:dyDescent="0.35">
      <c r="A72">
        <v>1271</v>
      </c>
      <c r="B72" s="1" t="s">
        <v>207</v>
      </c>
      <c r="C72" s="2" t="s">
        <v>208</v>
      </c>
      <c r="D72" s="1" t="s">
        <v>209</v>
      </c>
      <c r="E72" s="2">
        <v>1438</v>
      </c>
      <c r="F72" s="6">
        <v>24</v>
      </c>
      <c r="G72" s="2">
        <v>607</v>
      </c>
      <c r="H72" s="2">
        <v>82</v>
      </c>
      <c r="I72" s="1" t="s">
        <v>11</v>
      </c>
      <c r="J72" s="2">
        <f>Table1[[#This Row],[Price (PKR)]]*Table1[[#This Row],[Number Sold]]</f>
        <v>872866</v>
      </c>
    </row>
    <row r="73" spans="1:10" ht="29" x14ac:dyDescent="0.35">
      <c r="A73">
        <v>1272</v>
      </c>
      <c r="B73" s="1" t="s">
        <v>210</v>
      </c>
      <c r="C73" s="2" t="s">
        <v>211</v>
      </c>
      <c r="D73" s="1" t="s">
        <v>212</v>
      </c>
      <c r="E73" s="2">
        <v>2322</v>
      </c>
      <c r="F73" s="6">
        <v>59</v>
      </c>
      <c r="G73" s="2">
        <v>607</v>
      </c>
      <c r="H73" s="2">
        <v>82</v>
      </c>
      <c r="I73" s="1" t="s">
        <v>21</v>
      </c>
      <c r="J73" s="2">
        <f>Table1[[#This Row],[Price (PKR)]]*Table1[[#This Row],[Number Sold]]</f>
        <v>1409454</v>
      </c>
    </row>
    <row r="74" spans="1:10" ht="29" x14ac:dyDescent="0.35">
      <c r="A74">
        <v>1273</v>
      </c>
      <c r="B74" s="1" t="s">
        <v>213</v>
      </c>
      <c r="C74" s="2" t="s">
        <v>214</v>
      </c>
      <c r="D74" s="1" t="s">
        <v>215</v>
      </c>
      <c r="E74" s="2">
        <v>346</v>
      </c>
      <c r="F74" s="6">
        <v>83</v>
      </c>
      <c r="G74" s="2">
        <v>3000</v>
      </c>
      <c r="H74" s="2">
        <v>527</v>
      </c>
      <c r="I74" s="1" t="s">
        <v>97</v>
      </c>
      <c r="J74" s="2">
        <f>Table1[[#This Row],[Price (PKR)]]*Table1[[#This Row],[Number Sold]]</f>
        <v>1038000</v>
      </c>
    </row>
    <row r="75" spans="1:10" ht="29" x14ac:dyDescent="0.35">
      <c r="A75">
        <v>1274</v>
      </c>
      <c r="B75" s="1" t="s">
        <v>216</v>
      </c>
      <c r="C75" s="2" t="s">
        <v>217</v>
      </c>
      <c r="D75" s="1" t="s">
        <v>218</v>
      </c>
      <c r="E75" s="2">
        <v>1161</v>
      </c>
      <c r="F75" s="6">
        <v>42</v>
      </c>
      <c r="G75" s="2">
        <v>12</v>
      </c>
      <c r="H75" s="2">
        <v>2</v>
      </c>
      <c r="I75" s="1" t="s">
        <v>21</v>
      </c>
      <c r="J75" s="2">
        <f>Table1[[#This Row],[Price (PKR)]]*Table1[[#This Row],[Number Sold]]</f>
        <v>13932</v>
      </c>
    </row>
    <row r="76" spans="1:10" ht="43.5" x14ac:dyDescent="0.35">
      <c r="A76">
        <v>1275</v>
      </c>
      <c r="B76" s="1" t="s">
        <v>219</v>
      </c>
      <c r="C76" s="2" t="s">
        <v>220</v>
      </c>
      <c r="D76" s="1" t="s">
        <v>221</v>
      </c>
      <c r="E76" s="2">
        <v>881</v>
      </c>
      <c r="F76" s="6">
        <v>71</v>
      </c>
      <c r="G76" s="2">
        <v>810</v>
      </c>
      <c r="H76" s="2">
        <v>155</v>
      </c>
      <c r="I76" s="1" t="s">
        <v>21</v>
      </c>
      <c r="J76" s="2">
        <f>Table1[[#This Row],[Price (PKR)]]*Table1[[#This Row],[Number Sold]]</f>
        <v>713610</v>
      </c>
    </row>
    <row r="77" spans="1:10" ht="29" x14ac:dyDescent="0.35">
      <c r="A77">
        <v>1276</v>
      </c>
      <c r="B77" s="1" t="s">
        <v>34</v>
      </c>
      <c r="C77" s="2" t="s">
        <v>222</v>
      </c>
      <c r="D77" s="1" t="s">
        <v>223</v>
      </c>
      <c r="E77" s="2">
        <v>1476</v>
      </c>
      <c r="F77" s="6">
        <v>36</v>
      </c>
      <c r="G77" s="2">
        <v>117</v>
      </c>
      <c r="H77" s="2">
        <v>32</v>
      </c>
      <c r="I77" s="1" t="s">
        <v>21</v>
      </c>
      <c r="J77" s="2">
        <f>Table1[[#This Row],[Price (PKR)]]*Table1[[#This Row],[Number Sold]]</f>
        <v>172692</v>
      </c>
    </row>
    <row r="78" spans="1:10" ht="43.5" x14ac:dyDescent="0.35">
      <c r="A78">
        <v>1277</v>
      </c>
      <c r="B78" s="1" t="s">
        <v>224</v>
      </c>
      <c r="C78" s="2" t="s">
        <v>225</v>
      </c>
      <c r="D78" s="1" t="s">
        <v>226</v>
      </c>
      <c r="E78" s="2">
        <v>1413</v>
      </c>
      <c r="F78" s="6">
        <v>53</v>
      </c>
      <c r="G78" s="2">
        <v>869</v>
      </c>
      <c r="H78" s="2">
        <v>213</v>
      </c>
      <c r="I78" s="1" t="s">
        <v>21</v>
      </c>
      <c r="J78" s="2">
        <f>Table1[[#This Row],[Price (PKR)]]*Table1[[#This Row],[Number Sold]]</f>
        <v>1227897</v>
      </c>
    </row>
    <row r="79" spans="1:10" ht="72.5" x14ac:dyDescent="0.35">
      <c r="A79">
        <v>1278</v>
      </c>
      <c r="B79" s="1" t="s">
        <v>227</v>
      </c>
      <c r="C79" s="2" t="s">
        <v>228</v>
      </c>
      <c r="D79" s="1" t="s">
        <v>229</v>
      </c>
      <c r="E79" s="2">
        <v>789</v>
      </c>
      <c r="F79" s="6">
        <v>61</v>
      </c>
      <c r="G79" s="2">
        <v>364</v>
      </c>
      <c r="H79" s="2">
        <v>80</v>
      </c>
      <c r="I79" s="1" t="s">
        <v>21</v>
      </c>
      <c r="J79" s="2">
        <f>Table1[[#This Row],[Price (PKR)]]*Table1[[#This Row],[Number Sold]]</f>
        <v>287196</v>
      </c>
    </row>
    <row r="80" spans="1:10" ht="43.5" x14ac:dyDescent="0.35">
      <c r="A80">
        <v>1279</v>
      </c>
      <c r="B80" s="1" t="s">
        <v>230</v>
      </c>
      <c r="C80" s="2" t="s">
        <v>231</v>
      </c>
      <c r="D80" s="1" t="s">
        <v>232</v>
      </c>
      <c r="E80" s="2">
        <v>999</v>
      </c>
      <c r="F80" s="6">
        <v>55</v>
      </c>
      <c r="G80" s="2">
        <v>184</v>
      </c>
      <c r="H80" s="2">
        <v>34</v>
      </c>
      <c r="I80" s="1" t="s">
        <v>11</v>
      </c>
      <c r="J80" s="2">
        <f>Table1[[#This Row],[Price (PKR)]]*Table1[[#This Row],[Number Sold]]</f>
        <v>183816</v>
      </c>
    </row>
    <row r="81" spans="1:10" ht="43.5" x14ac:dyDescent="0.35">
      <c r="A81">
        <v>1280</v>
      </c>
      <c r="B81" s="1" t="s">
        <v>233</v>
      </c>
      <c r="C81" s="2" t="s">
        <v>234</v>
      </c>
      <c r="D81" s="1" t="s">
        <v>235</v>
      </c>
      <c r="E81" s="2">
        <v>3249</v>
      </c>
      <c r="F81" s="6">
        <v>29</v>
      </c>
      <c r="G81" s="2">
        <v>607</v>
      </c>
      <c r="H81" s="2">
        <v>82</v>
      </c>
      <c r="I81" s="1" t="s">
        <v>21</v>
      </c>
      <c r="J81" s="2">
        <f>Table1[[#This Row],[Price (PKR)]]*Table1[[#This Row],[Number Sold]]</f>
        <v>1972143</v>
      </c>
    </row>
    <row r="82" spans="1:10" ht="58" x14ac:dyDescent="0.35">
      <c r="A82">
        <v>1281</v>
      </c>
      <c r="B82" s="1" t="s">
        <v>236</v>
      </c>
      <c r="C82" s="2" t="s">
        <v>237</v>
      </c>
      <c r="D82" s="1" t="s">
        <v>238</v>
      </c>
      <c r="E82" s="2">
        <v>957</v>
      </c>
      <c r="F82" s="6">
        <v>52</v>
      </c>
      <c r="G82" s="2">
        <v>17</v>
      </c>
      <c r="H82" s="2">
        <v>5</v>
      </c>
      <c r="I82" s="1" t="s">
        <v>11</v>
      </c>
      <c r="J82" s="2">
        <f>Table1[[#This Row],[Price (PKR)]]*Table1[[#This Row],[Number Sold]]</f>
        <v>16269</v>
      </c>
    </row>
    <row r="83" spans="1:10" ht="43.5" x14ac:dyDescent="0.35">
      <c r="A83">
        <v>1282</v>
      </c>
      <c r="B83" s="1" t="s">
        <v>239</v>
      </c>
      <c r="C83" s="2" t="s">
        <v>240</v>
      </c>
      <c r="D83" s="1" t="s">
        <v>241</v>
      </c>
      <c r="E83" s="2">
        <v>5699</v>
      </c>
      <c r="F83" s="6">
        <v>47</v>
      </c>
      <c r="G83" s="2">
        <v>607</v>
      </c>
      <c r="H83" s="2">
        <v>82</v>
      </c>
      <c r="I83" s="1" t="s">
        <v>11</v>
      </c>
      <c r="J83" s="2">
        <f>Table1[[#This Row],[Price (PKR)]]*Table1[[#This Row],[Number Sold]]</f>
        <v>3459293</v>
      </c>
    </row>
    <row r="84" spans="1:10" ht="29" x14ac:dyDescent="0.35">
      <c r="A84">
        <v>1283</v>
      </c>
      <c r="B84" s="1" t="s">
        <v>242</v>
      </c>
      <c r="C84" s="2" t="s">
        <v>243</v>
      </c>
      <c r="D84" s="1" t="s">
        <v>244</v>
      </c>
      <c r="E84" s="2">
        <v>1199</v>
      </c>
      <c r="F84" s="6">
        <v>40</v>
      </c>
      <c r="G84" s="2">
        <v>899</v>
      </c>
      <c r="H84" s="2">
        <v>82</v>
      </c>
      <c r="I84" s="1" t="s">
        <v>21</v>
      </c>
      <c r="J84" s="2">
        <f>Table1[[#This Row],[Price (PKR)]]*Table1[[#This Row],[Number Sold]]</f>
        <v>1077901</v>
      </c>
    </row>
    <row r="85" spans="1:10" ht="29" x14ac:dyDescent="0.35">
      <c r="A85">
        <v>1284</v>
      </c>
      <c r="B85" s="1" t="s">
        <v>245</v>
      </c>
      <c r="C85" s="2" t="s">
        <v>246</v>
      </c>
      <c r="D85" s="1" t="s">
        <v>247</v>
      </c>
      <c r="E85" s="2">
        <v>1161</v>
      </c>
      <c r="F85" s="6">
        <v>42</v>
      </c>
      <c r="G85" s="2">
        <v>134</v>
      </c>
      <c r="H85" s="2">
        <v>82</v>
      </c>
      <c r="I85" s="1" t="s">
        <v>21</v>
      </c>
      <c r="J85" s="2">
        <f>Table1[[#This Row],[Price (PKR)]]*Table1[[#This Row],[Number Sold]]</f>
        <v>155574</v>
      </c>
    </row>
    <row r="86" spans="1:10" ht="58" x14ac:dyDescent="0.35">
      <c r="A86">
        <v>1285</v>
      </c>
      <c r="B86" s="1" t="s">
        <v>248</v>
      </c>
      <c r="C86" s="2" t="s">
        <v>249</v>
      </c>
      <c r="D86" s="1" t="s">
        <v>250</v>
      </c>
      <c r="E86" s="2">
        <v>2178</v>
      </c>
      <c r="F86" s="6">
        <v>38</v>
      </c>
      <c r="G86" s="2">
        <v>8</v>
      </c>
      <c r="H86" s="2">
        <v>82</v>
      </c>
      <c r="I86" s="1" t="s">
        <v>11</v>
      </c>
      <c r="J86" s="2">
        <f>Table1[[#This Row],[Price (PKR)]]*Table1[[#This Row],[Number Sold]]</f>
        <v>17424</v>
      </c>
    </row>
    <row r="87" spans="1:10" ht="43.5" x14ac:dyDescent="0.35">
      <c r="A87">
        <v>1286</v>
      </c>
      <c r="B87" s="1" t="s">
        <v>251</v>
      </c>
      <c r="C87" s="2" t="s">
        <v>252</v>
      </c>
      <c r="D87" s="1" t="s">
        <v>253</v>
      </c>
      <c r="E87" s="2">
        <v>1498</v>
      </c>
      <c r="F87" s="6">
        <v>70</v>
      </c>
      <c r="G87" s="2">
        <v>6</v>
      </c>
      <c r="H87" s="2">
        <v>82</v>
      </c>
      <c r="I87" s="1" t="s">
        <v>21</v>
      </c>
      <c r="J87" s="2">
        <f>Table1[[#This Row],[Price (PKR)]]*Table1[[#This Row],[Number Sold]]</f>
        <v>8988</v>
      </c>
    </row>
    <row r="88" spans="1:10" ht="29" x14ac:dyDescent="0.35">
      <c r="A88">
        <v>1287</v>
      </c>
      <c r="B88" s="1" t="s">
        <v>254</v>
      </c>
      <c r="C88" s="2" t="s">
        <v>255</v>
      </c>
      <c r="D88" s="1" t="s">
        <v>256</v>
      </c>
      <c r="E88" s="2">
        <v>6499</v>
      </c>
      <c r="F88" s="6">
        <v>47</v>
      </c>
      <c r="G88" s="2">
        <v>607</v>
      </c>
      <c r="H88" s="2">
        <v>82</v>
      </c>
      <c r="I88" s="1" t="s">
        <v>11</v>
      </c>
      <c r="J88" s="2">
        <f>Table1[[#This Row],[Price (PKR)]]*Table1[[#This Row],[Number Sold]]</f>
        <v>3944893</v>
      </c>
    </row>
    <row r="89" spans="1:10" ht="29" x14ac:dyDescent="0.35">
      <c r="A89">
        <v>1288</v>
      </c>
      <c r="B89" s="1" t="s">
        <v>257</v>
      </c>
      <c r="C89" s="2" t="s">
        <v>258</v>
      </c>
      <c r="D89" s="1" t="s">
        <v>259</v>
      </c>
      <c r="E89" s="2">
        <v>1127</v>
      </c>
      <c r="F89" s="6">
        <v>44</v>
      </c>
      <c r="G89" s="2">
        <v>1400</v>
      </c>
      <c r="H89" s="2">
        <v>82</v>
      </c>
      <c r="I89" s="1" t="s">
        <v>21</v>
      </c>
      <c r="J89" s="2">
        <f>Table1[[#This Row],[Price (PKR)]]*Table1[[#This Row],[Number Sold]]</f>
        <v>1577800</v>
      </c>
    </row>
    <row r="90" spans="1:10" ht="43.5" x14ac:dyDescent="0.35">
      <c r="A90">
        <v>1289</v>
      </c>
      <c r="B90" s="1" t="s">
        <v>251</v>
      </c>
      <c r="C90" s="2" t="s">
        <v>260</v>
      </c>
      <c r="D90" s="1" t="s">
        <v>261</v>
      </c>
      <c r="E90" s="2">
        <v>1498</v>
      </c>
      <c r="F90" s="6">
        <v>70</v>
      </c>
      <c r="G90" s="2">
        <v>607</v>
      </c>
      <c r="H90" s="2">
        <v>82</v>
      </c>
      <c r="I90" s="1" t="s">
        <v>21</v>
      </c>
      <c r="J90" s="2">
        <f>Table1[[#This Row],[Price (PKR)]]*Table1[[#This Row],[Number Sold]]</f>
        <v>909286</v>
      </c>
    </row>
    <row r="91" spans="1:10" ht="29" x14ac:dyDescent="0.35">
      <c r="A91">
        <v>1290</v>
      </c>
      <c r="B91" s="1" t="s">
        <v>262</v>
      </c>
      <c r="C91" s="2" t="s">
        <v>263</v>
      </c>
      <c r="D91" s="1" t="s">
        <v>264</v>
      </c>
      <c r="E91" s="2">
        <v>899</v>
      </c>
      <c r="F91" s="6">
        <v>18</v>
      </c>
      <c r="G91" s="2">
        <v>392</v>
      </c>
      <c r="H91" s="2">
        <v>82</v>
      </c>
      <c r="I91" s="1" t="s">
        <v>11</v>
      </c>
      <c r="J91" s="2">
        <f>Table1[[#This Row],[Price (PKR)]]*Table1[[#This Row],[Number Sold]]</f>
        <v>352408</v>
      </c>
    </row>
    <row r="92" spans="1:10" ht="58" x14ac:dyDescent="0.35">
      <c r="A92">
        <v>1291</v>
      </c>
      <c r="B92" s="1" t="s">
        <v>15</v>
      </c>
      <c r="C92" s="2" t="s">
        <v>265</v>
      </c>
      <c r="D92" s="1" t="s">
        <v>266</v>
      </c>
      <c r="E92" s="2">
        <v>2902</v>
      </c>
      <c r="F92" s="6">
        <v>64</v>
      </c>
      <c r="G92" s="2">
        <v>6</v>
      </c>
      <c r="H92" s="2">
        <v>82</v>
      </c>
      <c r="I92" s="1" t="s">
        <v>11</v>
      </c>
      <c r="J92" s="2">
        <f>Table1[[#This Row],[Price (PKR)]]*Table1[[#This Row],[Number Sold]]</f>
        <v>17412</v>
      </c>
    </row>
    <row r="93" spans="1:10" ht="29" x14ac:dyDescent="0.35">
      <c r="A93">
        <v>1292</v>
      </c>
      <c r="B93" s="1" t="s">
        <v>267</v>
      </c>
      <c r="C93" s="2" t="s">
        <v>268</v>
      </c>
      <c r="D93" s="1" t="s">
        <v>269</v>
      </c>
      <c r="E93" s="2">
        <v>750</v>
      </c>
      <c r="F93" s="6">
        <v>38</v>
      </c>
      <c r="G93" s="2">
        <v>83</v>
      </c>
      <c r="H93" s="2">
        <v>82</v>
      </c>
      <c r="I93" s="1" t="s">
        <v>11</v>
      </c>
      <c r="J93" s="2">
        <f>Table1[[#This Row],[Price (PKR)]]*Table1[[#This Row],[Number Sold]]</f>
        <v>62250</v>
      </c>
    </row>
    <row r="94" spans="1:10" ht="29" x14ac:dyDescent="0.35">
      <c r="A94">
        <v>1293</v>
      </c>
      <c r="B94" s="1" t="s">
        <v>270</v>
      </c>
      <c r="C94" s="2" t="s">
        <v>271</v>
      </c>
      <c r="D94" s="1" t="s">
        <v>272</v>
      </c>
      <c r="E94" s="2">
        <v>1462</v>
      </c>
      <c r="F94" s="6">
        <v>19</v>
      </c>
      <c r="G94" s="2">
        <v>234</v>
      </c>
      <c r="H94" s="2">
        <v>82</v>
      </c>
      <c r="I94" s="1" t="s">
        <v>21</v>
      </c>
      <c r="J94" s="2">
        <f>Table1[[#This Row],[Price (PKR)]]*Table1[[#This Row],[Number Sold]]</f>
        <v>342108</v>
      </c>
    </row>
    <row r="95" spans="1:10" ht="72.5" x14ac:dyDescent="0.35">
      <c r="A95">
        <v>1294</v>
      </c>
      <c r="B95" s="1" t="s">
        <v>273</v>
      </c>
      <c r="C95" s="2" t="s">
        <v>274</v>
      </c>
      <c r="D95" s="1" t="s">
        <v>275</v>
      </c>
      <c r="E95" s="2">
        <v>1499</v>
      </c>
      <c r="F95" s="6">
        <v>21</v>
      </c>
      <c r="G95" s="2">
        <v>44</v>
      </c>
      <c r="H95" s="2">
        <v>82</v>
      </c>
      <c r="I95" s="1" t="s">
        <v>21</v>
      </c>
      <c r="J95" s="2">
        <f>Table1[[#This Row],[Price (PKR)]]*Table1[[#This Row],[Number Sold]]</f>
        <v>65956</v>
      </c>
    </row>
    <row r="96" spans="1:10" ht="29" x14ac:dyDescent="0.35">
      <c r="A96">
        <v>1295</v>
      </c>
      <c r="B96" s="1" t="s">
        <v>276</v>
      </c>
      <c r="C96" s="2" t="s">
        <v>277</v>
      </c>
      <c r="D96" s="1" t="s">
        <v>278</v>
      </c>
      <c r="E96" s="2">
        <v>1199</v>
      </c>
      <c r="F96" s="6">
        <v>40</v>
      </c>
      <c r="G96" s="2">
        <v>77</v>
      </c>
      <c r="H96" s="2">
        <v>82</v>
      </c>
      <c r="I96" s="1" t="s">
        <v>279</v>
      </c>
      <c r="J96" s="2">
        <f>Table1[[#This Row],[Price (PKR)]]*Table1[[#This Row],[Number Sold]]</f>
        <v>92323</v>
      </c>
    </row>
    <row r="97" spans="1:10" ht="72.5" x14ac:dyDescent="0.35">
      <c r="A97">
        <v>1296</v>
      </c>
      <c r="B97" s="1" t="s">
        <v>280</v>
      </c>
      <c r="C97" s="2" t="s">
        <v>281</v>
      </c>
      <c r="D97" s="1" t="s">
        <v>282</v>
      </c>
      <c r="E97" s="2">
        <v>899</v>
      </c>
      <c r="F97" s="6">
        <v>87</v>
      </c>
      <c r="G97" s="2">
        <v>481</v>
      </c>
      <c r="H97" s="2">
        <v>82</v>
      </c>
      <c r="I97" s="1" t="s">
        <v>21</v>
      </c>
      <c r="J97" s="2">
        <f>Table1[[#This Row],[Price (PKR)]]*Table1[[#This Row],[Number Sold]]</f>
        <v>432419</v>
      </c>
    </row>
    <row r="98" spans="1:10" ht="29" x14ac:dyDescent="0.35">
      <c r="A98">
        <v>1297</v>
      </c>
      <c r="B98" s="1" t="s">
        <v>283</v>
      </c>
      <c r="C98" s="2" t="s">
        <v>284</v>
      </c>
      <c r="D98" s="1" t="s">
        <v>285</v>
      </c>
      <c r="E98" s="2">
        <v>1354</v>
      </c>
      <c r="F98" s="6">
        <v>55</v>
      </c>
      <c r="G98" s="2">
        <v>21</v>
      </c>
      <c r="H98" s="2">
        <v>82</v>
      </c>
      <c r="I98" s="1" t="s">
        <v>21</v>
      </c>
      <c r="J98" s="2">
        <f>Table1[[#This Row],[Price (PKR)]]*Table1[[#This Row],[Number Sold]]</f>
        <v>28434</v>
      </c>
    </row>
    <row r="99" spans="1:10" ht="43.5" x14ac:dyDescent="0.35">
      <c r="A99">
        <v>1298</v>
      </c>
      <c r="B99" s="1" t="s">
        <v>286</v>
      </c>
      <c r="C99" s="2" t="s">
        <v>287</v>
      </c>
      <c r="D99" s="1" t="s">
        <v>288</v>
      </c>
      <c r="E99" s="2">
        <v>1299</v>
      </c>
      <c r="F99" s="6">
        <v>57</v>
      </c>
      <c r="G99" s="2">
        <v>18</v>
      </c>
      <c r="H99" s="2">
        <v>82</v>
      </c>
      <c r="I99" s="1" t="s">
        <v>21</v>
      </c>
      <c r="J99" s="2">
        <f>Table1[[#This Row],[Price (PKR)]]*Table1[[#This Row],[Number Sold]]</f>
        <v>23382</v>
      </c>
    </row>
    <row r="100" spans="1:10" ht="29" x14ac:dyDescent="0.35">
      <c r="A100">
        <v>1299</v>
      </c>
      <c r="B100" s="1" t="s">
        <v>289</v>
      </c>
      <c r="C100" s="2" t="s">
        <v>290</v>
      </c>
      <c r="D100" s="1" t="s">
        <v>291</v>
      </c>
      <c r="E100" s="2">
        <v>1299</v>
      </c>
      <c r="F100" s="6">
        <v>48</v>
      </c>
      <c r="G100" s="2">
        <v>46</v>
      </c>
      <c r="H100" s="2">
        <v>82</v>
      </c>
      <c r="I100" s="1" t="s">
        <v>21</v>
      </c>
      <c r="J100" s="2">
        <f>Table1[[#This Row],[Price (PKR)]]*Table1[[#This Row],[Number Sold]]</f>
        <v>59754</v>
      </c>
    </row>
    <row r="101" spans="1:10" ht="43.5" x14ac:dyDescent="0.35">
      <c r="A101">
        <v>1300</v>
      </c>
      <c r="B101" s="1" t="s">
        <v>292</v>
      </c>
      <c r="C101" s="2" t="s">
        <v>293</v>
      </c>
      <c r="D101" s="1" t="s">
        <v>294</v>
      </c>
      <c r="E101" s="2">
        <v>1462</v>
      </c>
      <c r="F101" s="6">
        <v>23</v>
      </c>
      <c r="G101" s="2">
        <v>413</v>
      </c>
      <c r="H101" s="2">
        <v>82</v>
      </c>
      <c r="I101" s="1" t="s">
        <v>21</v>
      </c>
      <c r="J101" s="2">
        <f>Table1[[#This Row],[Price (PKR)]]*Table1[[#This Row],[Number Sold]]</f>
        <v>603806</v>
      </c>
    </row>
    <row r="102" spans="1:10" ht="43.5" x14ac:dyDescent="0.35">
      <c r="A102">
        <v>1301</v>
      </c>
      <c r="B102" s="1" t="s">
        <v>295</v>
      </c>
      <c r="C102" s="2" t="s">
        <v>296</v>
      </c>
      <c r="D102" s="1" t="s">
        <v>297</v>
      </c>
      <c r="E102" s="2">
        <v>1715</v>
      </c>
      <c r="F102" s="6">
        <v>14</v>
      </c>
      <c r="G102" s="2">
        <v>819</v>
      </c>
      <c r="H102" s="2">
        <v>82</v>
      </c>
      <c r="I102" s="1" t="s">
        <v>11</v>
      </c>
      <c r="J102" s="2">
        <f>Table1[[#This Row],[Price (PKR)]]*Table1[[#This Row],[Number Sold]]</f>
        <v>1404585</v>
      </c>
    </row>
    <row r="103" spans="1:10" ht="43.5" x14ac:dyDescent="0.35">
      <c r="A103">
        <v>1302</v>
      </c>
      <c r="B103" s="1" t="s">
        <v>298</v>
      </c>
      <c r="C103" s="2" t="s">
        <v>299</v>
      </c>
      <c r="D103" s="1" t="s">
        <v>300</v>
      </c>
      <c r="E103" s="2">
        <v>1299</v>
      </c>
      <c r="F103" s="6">
        <v>48</v>
      </c>
      <c r="G103" s="2">
        <v>51</v>
      </c>
      <c r="H103" s="2">
        <v>82</v>
      </c>
      <c r="I103" s="1" t="s">
        <v>21</v>
      </c>
      <c r="J103" s="2">
        <f>Table1[[#This Row],[Price (PKR)]]*Table1[[#This Row],[Number Sold]]</f>
        <v>66249</v>
      </c>
    </row>
    <row r="104" spans="1:10" ht="43.5" x14ac:dyDescent="0.35">
      <c r="A104">
        <v>1303</v>
      </c>
      <c r="B104" s="1" t="s">
        <v>301</v>
      </c>
      <c r="C104" s="2" t="s">
        <v>302</v>
      </c>
      <c r="D104" s="1" t="s">
        <v>303</v>
      </c>
      <c r="E104" s="2">
        <v>1399</v>
      </c>
      <c r="F104" s="6">
        <v>44</v>
      </c>
      <c r="G104" s="2">
        <v>118</v>
      </c>
      <c r="H104" s="2">
        <v>82</v>
      </c>
      <c r="I104" s="1" t="s">
        <v>21</v>
      </c>
      <c r="J104" s="2">
        <f>Table1[[#This Row],[Price (PKR)]]*Table1[[#This Row],[Number Sold]]</f>
        <v>165082</v>
      </c>
    </row>
    <row r="105" spans="1:10" ht="29" x14ac:dyDescent="0.35">
      <c r="A105">
        <v>1304</v>
      </c>
      <c r="B105" s="1" t="s">
        <v>304</v>
      </c>
      <c r="C105" s="2" t="s">
        <v>305</v>
      </c>
      <c r="D105" s="1" t="s">
        <v>306</v>
      </c>
      <c r="E105" s="2">
        <v>899</v>
      </c>
      <c r="F105" s="6">
        <v>55</v>
      </c>
      <c r="G105" s="2">
        <v>14</v>
      </c>
      <c r="H105" s="2">
        <v>82</v>
      </c>
      <c r="I105" s="1" t="s">
        <v>21</v>
      </c>
      <c r="J105" s="2">
        <f>Table1[[#This Row],[Price (PKR)]]*Table1[[#This Row],[Number Sold]]</f>
        <v>12586</v>
      </c>
    </row>
    <row r="106" spans="1:10" ht="29" x14ac:dyDescent="0.35">
      <c r="A106">
        <v>1305</v>
      </c>
      <c r="B106" s="1" t="s">
        <v>307</v>
      </c>
      <c r="C106" s="2" t="s">
        <v>308</v>
      </c>
      <c r="D106" s="1" t="s">
        <v>309</v>
      </c>
      <c r="E106" s="2">
        <v>1999</v>
      </c>
      <c r="F106" s="6">
        <v>47</v>
      </c>
      <c r="G106" s="2">
        <v>607</v>
      </c>
      <c r="H106" s="2">
        <v>82</v>
      </c>
      <c r="I106" s="1" t="s">
        <v>11</v>
      </c>
      <c r="J106" s="2">
        <f>Table1[[#This Row],[Price (PKR)]]*Table1[[#This Row],[Number Sold]]</f>
        <v>1213393</v>
      </c>
    </row>
    <row r="107" spans="1:10" ht="29" x14ac:dyDescent="0.35">
      <c r="A107">
        <v>1306</v>
      </c>
      <c r="B107" s="1" t="s">
        <v>310</v>
      </c>
      <c r="C107" s="2" t="s">
        <v>311</v>
      </c>
      <c r="D107" s="1" t="s">
        <v>312</v>
      </c>
      <c r="E107" s="2">
        <v>1400</v>
      </c>
      <c r="F107" s="6">
        <v>47</v>
      </c>
      <c r="G107" s="2">
        <v>607</v>
      </c>
      <c r="H107" s="2">
        <v>82</v>
      </c>
      <c r="I107" s="1" t="s">
        <v>21</v>
      </c>
      <c r="J107" s="2">
        <f>Table1[[#This Row],[Price (PKR)]]*Table1[[#This Row],[Number Sold]]</f>
        <v>849800</v>
      </c>
    </row>
    <row r="108" spans="1:10" ht="29" x14ac:dyDescent="0.35">
      <c r="A108">
        <v>1307</v>
      </c>
      <c r="B108" s="1" t="s">
        <v>313</v>
      </c>
      <c r="C108" s="2" t="s">
        <v>314</v>
      </c>
      <c r="D108" s="1" t="s">
        <v>315</v>
      </c>
      <c r="E108" s="2">
        <v>5095</v>
      </c>
      <c r="F108" s="6">
        <v>61</v>
      </c>
      <c r="G108" s="2">
        <v>8</v>
      </c>
      <c r="H108" s="2">
        <v>82</v>
      </c>
      <c r="I108" s="1" t="s">
        <v>21</v>
      </c>
      <c r="J108" s="2">
        <f>Table1[[#This Row],[Price (PKR)]]*Table1[[#This Row],[Number Sold]]</f>
        <v>40760</v>
      </c>
    </row>
    <row r="109" spans="1:10" ht="43.5" x14ac:dyDescent="0.35">
      <c r="A109">
        <v>1308</v>
      </c>
      <c r="B109" s="1" t="s">
        <v>316</v>
      </c>
      <c r="C109" s="2" t="s">
        <v>317</v>
      </c>
      <c r="D109" s="1" t="s">
        <v>318</v>
      </c>
      <c r="E109" s="2">
        <v>1150</v>
      </c>
      <c r="F109" s="6">
        <v>56</v>
      </c>
      <c r="G109" s="2">
        <v>5</v>
      </c>
      <c r="H109" s="2">
        <v>82</v>
      </c>
      <c r="I109" s="1" t="s">
        <v>21</v>
      </c>
      <c r="J109" s="2">
        <f>Table1[[#This Row],[Price (PKR)]]*Table1[[#This Row],[Number Sold]]</f>
        <v>5750</v>
      </c>
    </row>
    <row r="110" spans="1:10" ht="43.5" x14ac:dyDescent="0.35">
      <c r="A110">
        <v>1309</v>
      </c>
      <c r="B110" s="1" t="s">
        <v>319</v>
      </c>
      <c r="C110" s="2" t="s">
        <v>320</v>
      </c>
      <c r="D110" s="1" t="s">
        <v>321</v>
      </c>
      <c r="E110" s="2">
        <v>1299</v>
      </c>
      <c r="F110" s="6">
        <v>57</v>
      </c>
      <c r="G110" s="2">
        <v>21</v>
      </c>
      <c r="H110" s="2">
        <v>82</v>
      </c>
      <c r="I110" s="1" t="s">
        <v>21</v>
      </c>
      <c r="J110" s="2">
        <f>Table1[[#This Row],[Price (PKR)]]*Table1[[#This Row],[Number Sold]]</f>
        <v>27279</v>
      </c>
    </row>
    <row r="111" spans="1:10" ht="72.5" x14ac:dyDescent="0.35">
      <c r="A111">
        <v>1310</v>
      </c>
      <c r="B111" s="1" t="s">
        <v>322</v>
      </c>
      <c r="C111" s="2" t="s">
        <v>323</v>
      </c>
      <c r="D111" s="1" t="s">
        <v>272</v>
      </c>
      <c r="E111" s="2">
        <v>1451</v>
      </c>
      <c r="F111" s="6">
        <v>3</v>
      </c>
      <c r="G111" s="2">
        <v>71</v>
      </c>
      <c r="H111" s="2">
        <v>82</v>
      </c>
      <c r="I111" s="1" t="s">
        <v>21</v>
      </c>
      <c r="J111" s="2">
        <f>Table1[[#This Row],[Price (PKR)]]*Table1[[#This Row],[Number Sold]]</f>
        <v>103021</v>
      </c>
    </row>
    <row r="112" spans="1:10" ht="43.5" x14ac:dyDescent="0.35">
      <c r="A112">
        <v>1311</v>
      </c>
      <c r="B112" s="1" t="s">
        <v>324</v>
      </c>
      <c r="C112" s="2" t="s">
        <v>325</v>
      </c>
      <c r="D112" s="1" t="s">
        <v>326</v>
      </c>
      <c r="E112" s="2">
        <v>1099</v>
      </c>
      <c r="F112" s="6">
        <v>45</v>
      </c>
      <c r="G112" s="2">
        <v>122</v>
      </c>
      <c r="H112" s="2">
        <v>82</v>
      </c>
      <c r="I112" s="1" t="s">
        <v>21</v>
      </c>
      <c r="J112" s="2">
        <f>Table1[[#This Row],[Price (PKR)]]*Table1[[#This Row],[Number Sold]]</f>
        <v>134078</v>
      </c>
    </row>
    <row r="113" spans="1:10" ht="72.5" x14ac:dyDescent="0.35">
      <c r="A113">
        <v>1312</v>
      </c>
      <c r="B113" s="1" t="s">
        <v>327</v>
      </c>
      <c r="C113" s="2" t="s">
        <v>328</v>
      </c>
      <c r="D113" s="1" t="s">
        <v>329</v>
      </c>
      <c r="E113" s="2">
        <v>1782</v>
      </c>
      <c r="F113" s="6">
        <v>43</v>
      </c>
      <c r="G113" s="2">
        <v>1100</v>
      </c>
      <c r="H113" s="2">
        <v>82</v>
      </c>
      <c r="I113" s="1" t="s">
        <v>21</v>
      </c>
      <c r="J113" s="2">
        <f>Table1[[#This Row],[Price (PKR)]]*Table1[[#This Row],[Number Sold]]</f>
        <v>1960200</v>
      </c>
    </row>
    <row r="114" spans="1:10" ht="43.5" x14ac:dyDescent="0.35">
      <c r="A114">
        <v>1313</v>
      </c>
      <c r="B114" s="1" t="s">
        <v>330</v>
      </c>
      <c r="C114" s="2" t="s">
        <v>331</v>
      </c>
      <c r="D114" s="1" t="s">
        <v>332</v>
      </c>
      <c r="E114" s="2">
        <v>1299</v>
      </c>
      <c r="F114" s="6">
        <v>57</v>
      </c>
      <c r="G114" s="2">
        <v>100</v>
      </c>
      <c r="H114" s="2">
        <v>82</v>
      </c>
      <c r="I114" s="1" t="s">
        <v>21</v>
      </c>
      <c r="J114" s="2">
        <f>Table1[[#This Row],[Price (PKR)]]*Table1[[#This Row],[Number Sold]]</f>
        <v>129900</v>
      </c>
    </row>
    <row r="115" spans="1:10" ht="29" x14ac:dyDescent="0.35">
      <c r="A115">
        <v>1314</v>
      </c>
      <c r="B115" s="1" t="s">
        <v>333</v>
      </c>
      <c r="C115" s="2" t="s">
        <v>334</v>
      </c>
      <c r="D115" s="1" t="s">
        <v>335</v>
      </c>
      <c r="E115" s="2">
        <v>1299</v>
      </c>
      <c r="F115" s="6">
        <v>63</v>
      </c>
      <c r="G115" s="2">
        <v>6</v>
      </c>
      <c r="H115" s="2">
        <v>82</v>
      </c>
      <c r="I115" s="1" t="s">
        <v>21</v>
      </c>
      <c r="J115" s="2">
        <f>Table1[[#This Row],[Price (PKR)]]*Table1[[#This Row],[Number Sold]]</f>
        <v>7794</v>
      </c>
    </row>
    <row r="116" spans="1:10" ht="29" x14ac:dyDescent="0.35">
      <c r="A116">
        <v>1315</v>
      </c>
      <c r="B116" s="1" t="s">
        <v>336</v>
      </c>
      <c r="C116" s="2" t="s">
        <v>337</v>
      </c>
      <c r="D116" s="1" t="s">
        <v>338</v>
      </c>
      <c r="E116" s="2">
        <v>4200</v>
      </c>
      <c r="F116" s="6">
        <v>47</v>
      </c>
      <c r="G116" s="2">
        <v>607</v>
      </c>
      <c r="H116" s="2">
        <v>82</v>
      </c>
      <c r="I116" s="1" t="s">
        <v>279</v>
      </c>
      <c r="J116" s="2">
        <f>Table1[[#This Row],[Price (PKR)]]*Table1[[#This Row],[Number Sold]]</f>
        <v>2549400</v>
      </c>
    </row>
    <row r="117" spans="1:10" ht="43.5" x14ac:dyDescent="0.35">
      <c r="A117">
        <v>1316</v>
      </c>
      <c r="B117" s="1" t="s">
        <v>339</v>
      </c>
      <c r="C117" s="2" t="s">
        <v>340</v>
      </c>
      <c r="D117" s="1" t="s">
        <v>341</v>
      </c>
      <c r="E117" s="2">
        <v>778</v>
      </c>
      <c r="F117" s="6">
        <v>57</v>
      </c>
      <c r="G117" s="2">
        <v>2700</v>
      </c>
      <c r="H117" s="2">
        <v>82</v>
      </c>
      <c r="I117" s="1" t="s">
        <v>21</v>
      </c>
      <c r="J117" s="2">
        <f>Table1[[#This Row],[Price (PKR)]]*Table1[[#This Row],[Number Sold]]</f>
        <v>2100600</v>
      </c>
    </row>
    <row r="118" spans="1:10" ht="72.5" x14ac:dyDescent="0.35">
      <c r="A118">
        <v>1317</v>
      </c>
      <c r="B118" s="1" t="s">
        <v>342</v>
      </c>
      <c r="C118" s="2" t="s">
        <v>343</v>
      </c>
      <c r="D118" s="1" t="s">
        <v>344</v>
      </c>
      <c r="E118" s="2">
        <v>2999</v>
      </c>
      <c r="F118" s="6">
        <v>29</v>
      </c>
      <c r="G118" s="2">
        <v>71</v>
      </c>
      <c r="H118" s="2">
        <v>82</v>
      </c>
      <c r="I118" s="1" t="s">
        <v>21</v>
      </c>
      <c r="J118" s="2">
        <f>Table1[[#This Row],[Price (PKR)]]*Table1[[#This Row],[Number Sold]]</f>
        <v>212929</v>
      </c>
    </row>
    <row r="119" spans="1:10" ht="29" x14ac:dyDescent="0.35">
      <c r="A119">
        <v>1318</v>
      </c>
      <c r="B119" s="1" t="s">
        <v>147</v>
      </c>
      <c r="C119" s="2" t="s">
        <v>345</v>
      </c>
      <c r="D119" s="1" t="s">
        <v>346</v>
      </c>
      <c r="E119" s="2">
        <v>1498</v>
      </c>
      <c r="F119" s="6">
        <v>70</v>
      </c>
      <c r="G119" s="2">
        <v>607</v>
      </c>
      <c r="H119" s="2">
        <v>82</v>
      </c>
      <c r="I119" s="1" t="s">
        <v>21</v>
      </c>
      <c r="J119" s="2">
        <f>Table1[[#This Row],[Price (PKR)]]*Table1[[#This Row],[Number Sold]]</f>
        <v>909286</v>
      </c>
    </row>
    <row r="120" spans="1:10" ht="29" x14ac:dyDescent="0.35">
      <c r="A120">
        <v>1319</v>
      </c>
      <c r="B120" s="1" t="s">
        <v>347</v>
      </c>
      <c r="C120" s="2" t="s">
        <v>348</v>
      </c>
      <c r="D120" s="1" t="s">
        <v>349</v>
      </c>
      <c r="E120" s="2">
        <v>2500</v>
      </c>
      <c r="F120" s="6">
        <v>47</v>
      </c>
      <c r="G120" s="2">
        <v>607</v>
      </c>
      <c r="H120" s="2">
        <v>82</v>
      </c>
      <c r="I120" s="1" t="s">
        <v>21</v>
      </c>
      <c r="J120" s="2">
        <f>Table1[[#This Row],[Price (PKR)]]*Table1[[#This Row],[Number Sold]]</f>
        <v>1517500</v>
      </c>
    </row>
    <row r="121" spans="1:10" ht="43.5" x14ac:dyDescent="0.35">
      <c r="A121">
        <v>1320</v>
      </c>
      <c r="B121" s="1" t="s">
        <v>350</v>
      </c>
      <c r="C121" s="2" t="s">
        <v>351</v>
      </c>
      <c r="D121" s="1" t="s">
        <v>352</v>
      </c>
      <c r="E121" s="2">
        <v>999</v>
      </c>
      <c r="F121" s="6">
        <v>67</v>
      </c>
      <c r="G121" s="2">
        <v>337</v>
      </c>
      <c r="H121" s="2">
        <v>82</v>
      </c>
      <c r="I121" s="1" t="s">
        <v>21</v>
      </c>
      <c r="J121" s="2">
        <f>Table1[[#This Row],[Price (PKR)]]*Table1[[#This Row],[Number Sold]]</f>
        <v>336663</v>
      </c>
    </row>
    <row r="122" spans="1:10" ht="29" x14ac:dyDescent="0.35">
      <c r="A122">
        <v>1321</v>
      </c>
      <c r="B122" s="1" t="s">
        <v>353</v>
      </c>
      <c r="C122" s="2" t="s">
        <v>354</v>
      </c>
      <c r="D122" s="1" t="s">
        <v>355</v>
      </c>
      <c r="E122" s="2">
        <v>1194</v>
      </c>
      <c r="F122" s="6">
        <v>52</v>
      </c>
      <c r="G122" s="2">
        <v>120</v>
      </c>
      <c r="H122" s="2">
        <v>82</v>
      </c>
      <c r="I122" s="1" t="s">
        <v>21</v>
      </c>
      <c r="J122" s="2">
        <f>Table1[[#This Row],[Price (PKR)]]*Table1[[#This Row],[Number Sold]]</f>
        <v>143280</v>
      </c>
    </row>
    <row r="123" spans="1:10" ht="43.5" x14ac:dyDescent="0.35">
      <c r="A123">
        <v>1322</v>
      </c>
      <c r="B123" s="1" t="s">
        <v>356</v>
      </c>
      <c r="C123" s="2" t="s">
        <v>357</v>
      </c>
      <c r="D123" s="1" t="s">
        <v>358</v>
      </c>
      <c r="E123" s="2">
        <v>1216</v>
      </c>
      <c r="F123" s="6">
        <v>59</v>
      </c>
      <c r="G123" s="2">
        <v>76</v>
      </c>
      <c r="H123" s="2">
        <v>82</v>
      </c>
      <c r="I123" s="1" t="s">
        <v>21</v>
      </c>
      <c r="J123" s="2">
        <f>Table1[[#This Row],[Price (PKR)]]*Table1[[#This Row],[Number Sold]]</f>
        <v>92416</v>
      </c>
    </row>
    <row r="124" spans="1:10" ht="29" x14ac:dyDescent="0.35">
      <c r="A124">
        <v>1323</v>
      </c>
      <c r="B124" s="1" t="s">
        <v>359</v>
      </c>
      <c r="C124" s="2" t="s">
        <v>360</v>
      </c>
      <c r="D124" s="1" t="s">
        <v>361</v>
      </c>
      <c r="E124" s="2">
        <v>1257</v>
      </c>
      <c r="F124" s="6">
        <v>37</v>
      </c>
      <c r="G124" s="2">
        <v>29</v>
      </c>
      <c r="H124" s="2">
        <v>82</v>
      </c>
      <c r="I124" s="1" t="s">
        <v>21</v>
      </c>
      <c r="J124" s="2">
        <f>Table1[[#This Row],[Price (PKR)]]*Table1[[#This Row],[Number Sold]]</f>
        <v>36453</v>
      </c>
    </row>
    <row r="125" spans="1:10" ht="43.5" x14ac:dyDescent="0.35">
      <c r="A125">
        <v>1324</v>
      </c>
      <c r="B125" s="1" t="s">
        <v>362</v>
      </c>
      <c r="C125" s="2" t="s">
        <v>363</v>
      </c>
      <c r="D125" s="1" t="s">
        <v>364</v>
      </c>
      <c r="E125" s="2">
        <v>1072</v>
      </c>
      <c r="F125" s="6">
        <v>57</v>
      </c>
      <c r="G125" s="2">
        <v>170</v>
      </c>
      <c r="H125" s="2">
        <v>82</v>
      </c>
      <c r="I125" s="1" t="s">
        <v>21</v>
      </c>
      <c r="J125" s="2">
        <f>Table1[[#This Row],[Price (PKR)]]*Table1[[#This Row],[Number Sold]]</f>
        <v>182240</v>
      </c>
    </row>
    <row r="126" spans="1:10" ht="29" x14ac:dyDescent="0.35">
      <c r="A126">
        <v>1325</v>
      </c>
      <c r="B126" s="1" t="s">
        <v>365</v>
      </c>
      <c r="C126" s="2" t="s">
        <v>366</v>
      </c>
      <c r="D126" s="1" t="s">
        <v>367</v>
      </c>
      <c r="E126" s="2">
        <v>928</v>
      </c>
      <c r="F126" s="6">
        <v>42</v>
      </c>
      <c r="G126" s="2">
        <v>1500</v>
      </c>
      <c r="H126" s="2">
        <v>82</v>
      </c>
      <c r="I126" s="1" t="s">
        <v>21</v>
      </c>
      <c r="J126" s="2">
        <f>Table1[[#This Row],[Price (PKR)]]*Table1[[#This Row],[Number Sold]]</f>
        <v>1392000</v>
      </c>
    </row>
    <row r="127" spans="1:10" ht="72.5" x14ac:dyDescent="0.35">
      <c r="A127">
        <v>1326</v>
      </c>
      <c r="B127" s="1" t="s">
        <v>368</v>
      </c>
      <c r="C127" s="2" t="s">
        <v>369</v>
      </c>
      <c r="D127" s="1" t="s">
        <v>370</v>
      </c>
      <c r="E127" s="2">
        <v>1548</v>
      </c>
      <c r="F127" s="6">
        <v>38</v>
      </c>
      <c r="G127" s="2">
        <v>5</v>
      </c>
      <c r="H127" s="2">
        <v>82</v>
      </c>
      <c r="I127" s="1" t="s">
        <v>21</v>
      </c>
      <c r="J127" s="2">
        <f>Table1[[#This Row],[Price (PKR)]]*Table1[[#This Row],[Number Sold]]</f>
        <v>7740</v>
      </c>
    </row>
    <row r="128" spans="1:10" ht="29" x14ac:dyDescent="0.35">
      <c r="A128">
        <v>1327</v>
      </c>
      <c r="B128" s="1" t="s">
        <v>371</v>
      </c>
      <c r="C128" s="2" t="s">
        <v>372</v>
      </c>
      <c r="D128" s="1" t="s">
        <v>373</v>
      </c>
      <c r="E128" s="2">
        <v>799</v>
      </c>
      <c r="F128" s="6">
        <v>33</v>
      </c>
      <c r="G128" s="2">
        <v>113</v>
      </c>
      <c r="H128" s="2">
        <v>82</v>
      </c>
      <c r="I128" s="1" t="s">
        <v>11</v>
      </c>
      <c r="J128" s="2">
        <f>Table1[[#This Row],[Price (PKR)]]*Table1[[#This Row],[Number Sold]]</f>
        <v>90287</v>
      </c>
    </row>
    <row r="129" spans="1:10" ht="29" x14ac:dyDescent="0.35">
      <c r="A129">
        <v>1328</v>
      </c>
      <c r="B129" s="1" t="s">
        <v>374</v>
      </c>
      <c r="C129" s="2" t="s">
        <v>375</v>
      </c>
      <c r="D129" s="1" t="s">
        <v>376</v>
      </c>
      <c r="E129" s="2">
        <v>982</v>
      </c>
      <c r="F129" s="6">
        <v>51</v>
      </c>
      <c r="G129" s="2">
        <v>206</v>
      </c>
      <c r="H129" s="2">
        <v>82</v>
      </c>
      <c r="I129" s="1" t="s">
        <v>21</v>
      </c>
      <c r="J129" s="2">
        <f>Table1[[#This Row],[Price (PKR)]]*Table1[[#This Row],[Number Sold]]</f>
        <v>202292</v>
      </c>
    </row>
    <row r="130" spans="1:10" ht="29" x14ac:dyDescent="0.35">
      <c r="A130">
        <v>1329</v>
      </c>
      <c r="B130" s="1" t="s">
        <v>377</v>
      </c>
      <c r="C130" s="2" t="s">
        <v>378</v>
      </c>
      <c r="D130" s="1" t="s">
        <v>379</v>
      </c>
      <c r="E130" s="2">
        <v>1548</v>
      </c>
      <c r="F130" s="6">
        <v>38</v>
      </c>
      <c r="G130" s="2">
        <v>15</v>
      </c>
      <c r="H130" s="2">
        <v>82</v>
      </c>
      <c r="I130" s="1" t="s">
        <v>21</v>
      </c>
      <c r="J130" s="2">
        <f>Table1[[#This Row],[Price (PKR)]]*Table1[[#This Row],[Number Sold]]</f>
        <v>23220</v>
      </c>
    </row>
    <row r="131" spans="1:10" ht="43.5" x14ac:dyDescent="0.35">
      <c r="A131">
        <v>1330</v>
      </c>
      <c r="B131" s="1" t="s">
        <v>66</v>
      </c>
      <c r="C131" s="2" t="s">
        <v>380</v>
      </c>
      <c r="D131" s="1" t="s">
        <v>381</v>
      </c>
      <c r="E131" s="2">
        <v>1299</v>
      </c>
      <c r="F131" s="6">
        <v>48</v>
      </c>
      <c r="G131" s="2">
        <v>96</v>
      </c>
      <c r="H131" s="2">
        <v>82</v>
      </c>
      <c r="I131" s="1" t="s">
        <v>21</v>
      </c>
      <c r="J131" s="2">
        <f>Table1[[#This Row],[Price (PKR)]]*Table1[[#This Row],[Number Sold]]</f>
        <v>124704</v>
      </c>
    </row>
    <row r="132" spans="1:10" ht="29" x14ac:dyDescent="0.35">
      <c r="A132">
        <v>1331</v>
      </c>
      <c r="B132" s="1" t="s">
        <v>382</v>
      </c>
      <c r="C132" s="2" t="s">
        <v>383</v>
      </c>
      <c r="D132" s="1" t="s">
        <v>384</v>
      </c>
      <c r="E132" s="2">
        <v>7499</v>
      </c>
      <c r="F132" s="6">
        <v>47</v>
      </c>
      <c r="G132" s="2">
        <v>607</v>
      </c>
      <c r="H132" s="2">
        <v>82</v>
      </c>
      <c r="I132" s="1" t="s">
        <v>385</v>
      </c>
      <c r="J132" s="2">
        <f>Table1[[#This Row],[Price (PKR)]]*Table1[[#This Row],[Number Sold]]</f>
        <v>4551893</v>
      </c>
    </row>
    <row r="133" spans="1:10" ht="29" x14ac:dyDescent="0.35">
      <c r="A133">
        <v>1332</v>
      </c>
      <c r="B133" s="1" t="s">
        <v>75</v>
      </c>
      <c r="C133" s="2" t="s">
        <v>386</v>
      </c>
      <c r="D133" s="1" t="s">
        <v>387</v>
      </c>
      <c r="E133" s="2">
        <v>1099</v>
      </c>
      <c r="F133" s="6">
        <v>56</v>
      </c>
      <c r="G133" s="2">
        <v>26</v>
      </c>
      <c r="H133" s="2">
        <v>82</v>
      </c>
      <c r="I133" s="1" t="s">
        <v>21</v>
      </c>
      <c r="J133" s="2">
        <f>Table1[[#This Row],[Price (PKR)]]*Table1[[#This Row],[Number Sold]]</f>
        <v>28574</v>
      </c>
    </row>
    <row r="134" spans="1:10" ht="29" x14ac:dyDescent="0.35">
      <c r="A134">
        <v>1333</v>
      </c>
      <c r="B134" s="1" t="s">
        <v>388</v>
      </c>
      <c r="C134" s="2" t="s">
        <v>389</v>
      </c>
      <c r="D134" s="1" t="s">
        <v>390</v>
      </c>
      <c r="E134" s="2">
        <v>1130</v>
      </c>
      <c r="F134" s="6">
        <v>49</v>
      </c>
      <c r="G134" s="2">
        <v>456</v>
      </c>
      <c r="H134" s="2">
        <v>82</v>
      </c>
      <c r="I134" s="1" t="s">
        <v>21</v>
      </c>
      <c r="J134" s="2">
        <f>Table1[[#This Row],[Price (PKR)]]*Table1[[#This Row],[Number Sold]]</f>
        <v>515280</v>
      </c>
    </row>
    <row r="135" spans="1:10" ht="29" x14ac:dyDescent="0.35">
      <c r="A135">
        <v>1334</v>
      </c>
      <c r="B135" s="1" t="s">
        <v>391</v>
      </c>
      <c r="C135" s="2" t="s">
        <v>392</v>
      </c>
      <c r="D135" s="1" t="s">
        <v>393</v>
      </c>
      <c r="E135" s="2">
        <v>3500</v>
      </c>
      <c r="F135" s="6">
        <v>47</v>
      </c>
      <c r="G135" s="2">
        <v>5</v>
      </c>
      <c r="H135" s="2">
        <v>82</v>
      </c>
      <c r="I135" s="1" t="s">
        <v>97</v>
      </c>
      <c r="J135" s="2">
        <f>Table1[[#This Row],[Price (PKR)]]*Table1[[#This Row],[Number Sold]]</f>
        <v>17500</v>
      </c>
    </row>
    <row r="136" spans="1:10" ht="29" x14ac:dyDescent="0.35">
      <c r="A136">
        <v>1335</v>
      </c>
      <c r="B136" s="1" t="s">
        <v>394</v>
      </c>
      <c r="C136" s="2" t="s">
        <v>395</v>
      </c>
      <c r="D136" s="1" t="s">
        <v>396</v>
      </c>
      <c r="E136" s="2">
        <v>5699</v>
      </c>
      <c r="F136" s="6">
        <v>47</v>
      </c>
      <c r="G136" s="2">
        <v>607</v>
      </c>
      <c r="H136" s="2">
        <v>82</v>
      </c>
      <c r="I136" s="1" t="s">
        <v>21</v>
      </c>
      <c r="J136" s="2">
        <f>Table1[[#This Row],[Price (PKR)]]*Table1[[#This Row],[Number Sold]]</f>
        <v>3459293</v>
      </c>
    </row>
    <row r="137" spans="1:10" ht="29" x14ac:dyDescent="0.35">
      <c r="A137">
        <v>1336</v>
      </c>
      <c r="B137" s="1" t="s">
        <v>397</v>
      </c>
      <c r="C137" s="2" t="s">
        <v>398</v>
      </c>
      <c r="D137" s="1" t="s">
        <v>399</v>
      </c>
      <c r="E137" s="2">
        <v>1735</v>
      </c>
      <c r="F137" s="6">
        <v>42</v>
      </c>
      <c r="G137" s="2">
        <v>28</v>
      </c>
      <c r="H137" s="2">
        <v>82</v>
      </c>
      <c r="I137" s="1" t="s">
        <v>21</v>
      </c>
      <c r="J137" s="2">
        <f>Table1[[#This Row],[Price (PKR)]]*Table1[[#This Row],[Number Sold]]</f>
        <v>48580</v>
      </c>
    </row>
    <row r="138" spans="1:10" ht="43.5" x14ac:dyDescent="0.35">
      <c r="A138">
        <v>1337</v>
      </c>
      <c r="B138" s="1" t="s">
        <v>400</v>
      </c>
      <c r="C138" s="2" t="s">
        <v>401</v>
      </c>
      <c r="D138" s="1" t="s">
        <v>402</v>
      </c>
      <c r="E138" s="2">
        <v>1466</v>
      </c>
      <c r="F138" s="6">
        <v>51</v>
      </c>
      <c r="G138" s="2">
        <v>324</v>
      </c>
      <c r="H138" s="2">
        <v>82</v>
      </c>
      <c r="I138" s="1" t="s">
        <v>21</v>
      </c>
      <c r="J138" s="2">
        <f>Table1[[#This Row],[Price (PKR)]]*Table1[[#This Row],[Number Sold]]</f>
        <v>474984</v>
      </c>
    </row>
    <row r="139" spans="1:10" ht="43.5" x14ac:dyDescent="0.35">
      <c r="A139">
        <v>1338</v>
      </c>
      <c r="B139" s="1" t="s">
        <v>403</v>
      </c>
      <c r="C139" s="2" t="s">
        <v>404</v>
      </c>
      <c r="D139" s="1" t="s">
        <v>117</v>
      </c>
      <c r="E139" s="2">
        <v>1299</v>
      </c>
      <c r="F139" s="6">
        <v>57</v>
      </c>
      <c r="G139" s="2">
        <v>100</v>
      </c>
      <c r="H139" s="2">
        <v>82</v>
      </c>
      <c r="I139" s="1" t="s">
        <v>21</v>
      </c>
      <c r="J139" s="2">
        <f>Table1[[#This Row],[Price (PKR)]]*Table1[[#This Row],[Number Sold]]</f>
        <v>129900</v>
      </c>
    </row>
    <row r="140" spans="1:10" ht="29" x14ac:dyDescent="0.35">
      <c r="A140">
        <v>1339</v>
      </c>
      <c r="B140" s="1" t="s">
        <v>405</v>
      </c>
      <c r="C140" s="2" t="s">
        <v>406</v>
      </c>
      <c r="D140" s="1" t="s">
        <v>407</v>
      </c>
      <c r="E140" s="2">
        <v>999</v>
      </c>
      <c r="F140" s="6">
        <v>60</v>
      </c>
      <c r="G140" s="2">
        <v>513</v>
      </c>
      <c r="H140" s="2">
        <v>82</v>
      </c>
      <c r="I140" s="1" t="s">
        <v>21</v>
      </c>
      <c r="J140" s="2">
        <f>Table1[[#This Row],[Price (PKR)]]*Table1[[#This Row],[Number Sold]]</f>
        <v>512487</v>
      </c>
    </row>
    <row r="141" spans="1:10" ht="29" x14ac:dyDescent="0.35">
      <c r="A141">
        <v>1340</v>
      </c>
      <c r="B141" s="1" t="s">
        <v>69</v>
      </c>
      <c r="C141" s="2" t="s">
        <v>408</v>
      </c>
      <c r="D141" s="1" t="s">
        <v>409</v>
      </c>
      <c r="E141" s="2">
        <v>1299</v>
      </c>
      <c r="F141" s="6">
        <v>57</v>
      </c>
      <c r="G141" s="2">
        <v>5</v>
      </c>
      <c r="H141" s="2">
        <v>82</v>
      </c>
      <c r="I141" s="1" t="s">
        <v>21</v>
      </c>
      <c r="J141" s="2">
        <f>Table1[[#This Row],[Price (PKR)]]*Table1[[#This Row],[Number Sold]]</f>
        <v>6495</v>
      </c>
    </row>
    <row r="142" spans="1:10" ht="29" x14ac:dyDescent="0.35">
      <c r="A142">
        <v>1341</v>
      </c>
      <c r="B142" s="1" t="s">
        <v>410</v>
      </c>
      <c r="C142" s="2" t="s">
        <v>411</v>
      </c>
      <c r="D142" s="1" t="s">
        <v>412</v>
      </c>
      <c r="E142" s="2">
        <v>1217</v>
      </c>
      <c r="F142" s="6">
        <v>51</v>
      </c>
      <c r="G142" s="2">
        <v>267</v>
      </c>
      <c r="H142" s="2">
        <v>82</v>
      </c>
      <c r="I142" s="1" t="s">
        <v>21</v>
      </c>
      <c r="J142" s="2">
        <f>Table1[[#This Row],[Price (PKR)]]*Table1[[#This Row],[Number Sold]]</f>
        <v>324939</v>
      </c>
    </row>
    <row r="143" spans="1:10" ht="29" x14ac:dyDescent="0.35">
      <c r="A143">
        <v>1342</v>
      </c>
      <c r="B143" s="1" t="s">
        <v>413</v>
      </c>
      <c r="C143" s="2" t="s">
        <v>414</v>
      </c>
      <c r="D143" s="1" t="s">
        <v>415</v>
      </c>
      <c r="E143" s="2">
        <v>1599</v>
      </c>
      <c r="F143" s="6">
        <v>47</v>
      </c>
      <c r="G143" s="2">
        <v>58</v>
      </c>
      <c r="H143" s="2">
        <v>82</v>
      </c>
      <c r="I143" s="1" t="s">
        <v>21</v>
      </c>
      <c r="J143" s="2">
        <f>Table1[[#This Row],[Price (PKR)]]*Table1[[#This Row],[Number Sold]]</f>
        <v>92742</v>
      </c>
    </row>
    <row r="144" spans="1:10" ht="43.5" x14ac:dyDescent="0.35">
      <c r="A144">
        <v>1343</v>
      </c>
      <c r="B144" s="1" t="s">
        <v>324</v>
      </c>
      <c r="C144" s="2" t="s">
        <v>416</v>
      </c>
      <c r="D144" s="1" t="s">
        <v>417</v>
      </c>
      <c r="E144" s="2">
        <v>1099</v>
      </c>
      <c r="F144" s="6">
        <v>45</v>
      </c>
      <c r="G144" s="2">
        <v>25</v>
      </c>
      <c r="H144" s="2">
        <v>82</v>
      </c>
      <c r="I144" s="1" t="s">
        <v>21</v>
      </c>
      <c r="J144" s="2">
        <f>Table1[[#This Row],[Price (PKR)]]*Table1[[#This Row],[Number Sold]]</f>
        <v>27475</v>
      </c>
    </row>
    <row r="145" spans="1:10" ht="29" x14ac:dyDescent="0.35">
      <c r="A145">
        <v>1344</v>
      </c>
      <c r="B145" s="1" t="s">
        <v>418</v>
      </c>
      <c r="C145" s="2" t="s">
        <v>419</v>
      </c>
      <c r="D145" s="1" t="s">
        <v>420</v>
      </c>
      <c r="E145" s="2">
        <v>1257</v>
      </c>
      <c r="F145" s="6">
        <v>43</v>
      </c>
      <c r="G145" s="2">
        <v>138</v>
      </c>
      <c r="H145" s="2">
        <v>82</v>
      </c>
      <c r="I145" s="1" t="s">
        <v>21</v>
      </c>
      <c r="J145" s="2">
        <f>Table1[[#This Row],[Price (PKR)]]*Table1[[#This Row],[Number Sold]]</f>
        <v>173466</v>
      </c>
    </row>
    <row r="146" spans="1:10" ht="29" x14ac:dyDescent="0.35">
      <c r="A146">
        <v>1345</v>
      </c>
      <c r="B146" s="1" t="s">
        <v>421</v>
      </c>
      <c r="C146" s="2" t="s">
        <v>422</v>
      </c>
      <c r="D146" s="1" t="s">
        <v>423</v>
      </c>
      <c r="E146" s="2">
        <v>1099</v>
      </c>
      <c r="F146" s="6">
        <v>56</v>
      </c>
      <c r="G146" s="2">
        <v>655</v>
      </c>
      <c r="H146" s="2">
        <v>82</v>
      </c>
      <c r="I146" s="1" t="s">
        <v>21</v>
      </c>
      <c r="J146" s="2">
        <f>Table1[[#This Row],[Price (PKR)]]*Table1[[#This Row],[Number Sold]]</f>
        <v>719845</v>
      </c>
    </row>
    <row r="147" spans="1:10" ht="43.5" x14ac:dyDescent="0.35">
      <c r="A147">
        <v>1346</v>
      </c>
      <c r="B147" s="1" t="s">
        <v>424</v>
      </c>
      <c r="C147" s="2" t="s">
        <v>425</v>
      </c>
      <c r="D147" s="1" t="s">
        <v>426</v>
      </c>
      <c r="E147" s="2">
        <v>1299</v>
      </c>
      <c r="F147" s="6">
        <v>57</v>
      </c>
      <c r="G147" s="2">
        <v>77</v>
      </c>
      <c r="H147" s="2">
        <v>82</v>
      </c>
      <c r="I147" s="1" t="s">
        <v>21</v>
      </c>
      <c r="J147" s="2">
        <f>Table1[[#This Row],[Price (PKR)]]*Table1[[#This Row],[Number Sold]]</f>
        <v>100023</v>
      </c>
    </row>
    <row r="148" spans="1:10" ht="29" x14ac:dyDescent="0.35">
      <c r="A148">
        <v>1347</v>
      </c>
      <c r="B148" s="1" t="s">
        <v>427</v>
      </c>
      <c r="C148" s="2" t="s">
        <v>428</v>
      </c>
      <c r="D148" s="1" t="s">
        <v>429</v>
      </c>
      <c r="E148" s="2">
        <v>1379</v>
      </c>
      <c r="F148" s="6">
        <v>54</v>
      </c>
      <c r="G148" s="2">
        <v>25</v>
      </c>
      <c r="H148" s="2">
        <v>82</v>
      </c>
      <c r="I148" s="1" t="s">
        <v>21</v>
      </c>
      <c r="J148" s="2">
        <f>Table1[[#This Row],[Price (PKR)]]*Table1[[#This Row],[Number Sold]]</f>
        <v>34475</v>
      </c>
    </row>
    <row r="149" spans="1:10" ht="29" x14ac:dyDescent="0.35">
      <c r="A149">
        <v>1348</v>
      </c>
      <c r="B149" s="1" t="s">
        <v>430</v>
      </c>
      <c r="C149" s="2" t="s">
        <v>431</v>
      </c>
      <c r="D149" s="1" t="s">
        <v>432</v>
      </c>
      <c r="E149" s="2">
        <v>1354</v>
      </c>
      <c r="F149" s="6">
        <v>20</v>
      </c>
      <c r="G149" s="2">
        <v>607</v>
      </c>
      <c r="H149" s="2">
        <v>82</v>
      </c>
      <c r="I149" s="1" t="s">
        <v>21</v>
      </c>
      <c r="J149" s="2">
        <f>Table1[[#This Row],[Price (PKR)]]*Table1[[#This Row],[Number Sold]]</f>
        <v>821878</v>
      </c>
    </row>
    <row r="150" spans="1:10" ht="29" x14ac:dyDescent="0.35">
      <c r="A150">
        <v>1349</v>
      </c>
      <c r="B150" s="1" t="s">
        <v>69</v>
      </c>
      <c r="C150" s="2" t="s">
        <v>433</v>
      </c>
      <c r="D150" s="1" t="s">
        <v>434</v>
      </c>
      <c r="E150" s="2">
        <v>1299</v>
      </c>
      <c r="F150" s="6">
        <v>57</v>
      </c>
      <c r="G150" s="2">
        <v>26</v>
      </c>
      <c r="H150" s="2">
        <v>82</v>
      </c>
      <c r="I150" s="1" t="s">
        <v>21</v>
      </c>
      <c r="J150" s="2">
        <f>Table1[[#This Row],[Price (PKR)]]*Table1[[#This Row],[Number Sold]]</f>
        <v>33774</v>
      </c>
    </row>
    <row r="151" spans="1:10" ht="29" x14ac:dyDescent="0.35">
      <c r="A151">
        <v>1350</v>
      </c>
      <c r="B151" s="1" t="s">
        <v>75</v>
      </c>
      <c r="C151" s="2" t="s">
        <v>435</v>
      </c>
      <c r="D151" s="1" t="s">
        <v>436</v>
      </c>
      <c r="E151" s="2">
        <v>1099</v>
      </c>
      <c r="F151" s="6">
        <v>45</v>
      </c>
      <c r="G151" s="2">
        <v>63</v>
      </c>
      <c r="H151" s="2">
        <v>82</v>
      </c>
      <c r="I151" s="1" t="s">
        <v>21</v>
      </c>
      <c r="J151" s="2">
        <f>Table1[[#This Row],[Price (PKR)]]*Table1[[#This Row],[Number Sold]]</f>
        <v>69237</v>
      </c>
    </row>
    <row r="152" spans="1:10" ht="29" x14ac:dyDescent="0.35">
      <c r="A152">
        <v>1351</v>
      </c>
      <c r="B152" s="1" t="s">
        <v>437</v>
      </c>
      <c r="C152" s="2" t="s">
        <v>438</v>
      </c>
      <c r="D152" s="1" t="s">
        <v>439</v>
      </c>
      <c r="E152" s="2">
        <v>6499</v>
      </c>
      <c r="F152" s="6">
        <v>47</v>
      </c>
      <c r="G152" s="2">
        <v>607</v>
      </c>
      <c r="H152" s="2">
        <v>82</v>
      </c>
      <c r="I152" s="1" t="s">
        <v>11</v>
      </c>
      <c r="J152" s="2">
        <f>Table1[[#This Row],[Price (PKR)]]*Table1[[#This Row],[Number Sold]]</f>
        <v>3944893</v>
      </c>
    </row>
    <row r="153" spans="1:10" ht="29" x14ac:dyDescent="0.35">
      <c r="A153">
        <v>1352</v>
      </c>
      <c r="B153" s="1" t="s">
        <v>440</v>
      </c>
      <c r="C153" s="2" t="s">
        <v>441</v>
      </c>
      <c r="D153" s="1" t="s">
        <v>442</v>
      </c>
      <c r="E153" s="2">
        <v>1299</v>
      </c>
      <c r="F153" s="6">
        <v>34</v>
      </c>
      <c r="G153" s="2">
        <v>607</v>
      </c>
      <c r="H153" s="2">
        <v>82</v>
      </c>
      <c r="I153" s="1" t="s">
        <v>11</v>
      </c>
      <c r="J153" s="2">
        <f>Table1[[#This Row],[Price (PKR)]]*Table1[[#This Row],[Number Sold]]</f>
        <v>788493</v>
      </c>
    </row>
    <row r="154" spans="1:10" ht="29" x14ac:dyDescent="0.35">
      <c r="A154">
        <v>1353</v>
      </c>
      <c r="B154" s="1" t="s">
        <v>443</v>
      </c>
      <c r="C154" s="2" t="s">
        <v>444</v>
      </c>
      <c r="D154" s="1" t="s">
        <v>445</v>
      </c>
      <c r="E154" s="2">
        <v>1161</v>
      </c>
      <c r="F154" s="6">
        <v>42</v>
      </c>
      <c r="G154" s="2">
        <v>227</v>
      </c>
      <c r="H154" s="2">
        <v>82</v>
      </c>
      <c r="I154" s="1" t="s">
        <v>21</v>
      </c>
      <c r="J154" s="2">
        <f>Table1[[#This Row],[Price (PKR)]]*Table1[[#This Row],[Number Sold]]</f>
        <v>263547</v>
      </c>
    </row>
    <row r="155" spans="1:10" ht="29" x14ac:dyDescent="0.35">
      <c r="A155">
        <v>1354</v>
      </c>
      <c r="B155" s="1" t="s">
        <v>446</v>
      </c>
      <c r="C155" s="2" t="s">
        <v>447</v>
      </c>
      <c r="D155" s="1" t="s">
        <v>448</v>
      </c>
      <c r="E155" s="2">
        <v>1199</v>
      </c>
      <c r="F155" s="6">
        <v>48</v>
      </c>
      <c r="G155" s="2">
        <v>786</v>
      </c>
      <c r="H155" s="2">
        <v>82</v>
      </c>
      <c r="I155" s="1" t="s">
        <v>21</v>
      </c>
      <c r="J155" s="2">
        <f>Table1[[#This Row],[Price (PKR)]]*Table1[[#This Row],[Number Sold]]</f>
        <v>942414</v>
      </c>
    </row>
    <row r="156" spans="1:10" ht="43.5" x14ac:dyDescent="0.35">
      <c r="A156">
        <v>1355</v>
      </c>
      <c r="B156" s="1" t="s">
        <v>52</v>
      </c>
      <c r="C156" s="2" t="s">
        <v>449</v>
      </c>
      <c r="D156" s="1" t="s">
        <v>321</v>
      </c>
      <c r="E156" s="2">
        <v>1299</v>
      </c>
      <c r="F156" s="6">
        <v>57</v>
      </c>
      <c r="G156" s="2">
        <v>16</v>
      </c>
      <c r="H156" s="2">
        <v>82</v>
      </c>
      <c r="I156" s="1" t="s">
        <v>21</v>
      </c>
      <c r="J156" s="2">
        <f>Table1[[#This Row],[Price (PKR)]]*Table1[[#This Row],[Number Sold]]</f>
        <v>20784</v>
      </c>
    </row>
    <row r="157" spans="1:10" ht="29" x14ac:dyDescent="0.35">
      <c r="A157">
        <v>1356</v>
      </c>
      <c r="B157" s="1" t="s">
        <v>450</v>
      </c>
      <c r="C157" s="2" t="s">
        <v>451</v>
      </c>
      <c r="D157" s="1" t="s">
        <v>452</v>
      </c>
      <c r="E157" s="2">
        <v>3290</v>
      </c>
      <c r="F157" s="6">
        <v>27</v>
      </c>
      <c r="G157" s="2">
        <v>607</v>
      </c>
      <c r="H157" s="2">
        <v>82</v>
      </c>
      <c r="I157" s="1" t="s">
        <v>21</v>
      </c>
      <c r="J157" s="2">
        <f>Table1[[#This Row],[Price (PKR)]]*Table1[[#This Row],[Number Sold]]</f>
        <v>1997030</v>
      </c>
    </row>
    <row r="158" spans="1:10" ht="72.5" x14ac:dyDescent="0.35">
      <c r="A158">
        <v>1357</v>
      </c>
      <c r="B158" s="1" t="s">
        <v>453</v>
      </c>
      <c r="C158" s="2" t="s">
        <v>454</v>
      </c>
      <c r="D158" s="1" t="s">
        <v>455</v>
      </c>
      <c r="E158" s="2">
        <v>1409</v>
      </c>
      <c r="F158" s="6">
        <v>26</v>
      </c>
      <c r="G158" s="2">
        <v>393</v>
      </c>
      <c r="H158" s="2">
        <v>82</v>
      </c>
      <c r="I158" s="1" t="s">
        <v>21</v>
      </c>
      <c r="J158" s="2">
        <f>Table1[[#This Row],[Price (PKR)]]*Table1[[#This Row],[Number Sold]]</f>
        <v>553737</v>
      </c>
    </row>
    <row r="159" spans="1:10" ht="29" x14ac:dyDescent="0.35">
      <c r="A159">
        <v>1358</v>
      </c>
      <c r="B159" s="1" t="s">
        <v>456</v>
      </c>
      <c r="C159" s="2" t="s">
        <v>457</v>
      </c>
      <c r="D159" s="1" t="s">
        <v>458</v>
      </c>
      <c r="E159" s="2">
        <v>599</v>
      </c>
      <c r="F159" s="6">
        <v>70</v>
      </c>
      <c r="G159" s="2">
        <v>365</v>
      </c>
      <c r="H159" s="2">
        <v>82</v>
      </c>
      <c r="I159" s="1" t="s">
        <v>21</v>
      </c>
      <c r="J159" s="2">
        <f>Table1[[#This Row],[Price (PKR)]]*Table1[[#This Row],[Number Sold]]</f>
        <v>218635</v>
      </c>
    </row>
    <row r="160" spans="1:10" ht="29" x14ac:dyDescent="0.35">
      <c r="A160">
        <v>1359</v>
      </c>
      <c r="B160" s="1" t="s">
        <v>459</v>
      </c>
      <c r="C160" s="2" t="s">
        <v>460</v>
      </c>
      <c r="D160" s="1" t="s">
        <v>461</v>
      </c>
      <c r="E160" s="2">
        <v>1610</v>
      </c>
      <c r="F160" s="6">
        <v>47</v>
      </c>
      <c r="G160" s="2">
        <v>607</v>
      </c>
      <c r="H160" s="2">
        <v>82</v>
      </c>
      <c r="I160" s="1" t="s">
        <v>21</v>
      </c>
      <c r="J160" s="2">
        <f>Table1[[#This Row],[Price (PKR)]]*Table1[[#This Row],[Number Sold]]</f>
        <v>977270</v>
      </c>
    </row>
    <row r="161" spans="1:10" ht="43.5" x14ac:dyDescent="0.35">
      <c r="A161">
        <v>1360</v>
      </c>
      <c r="B161" s="1" t="s">
        <v>324</v>
      </c>
      <c r="C161" s="2" t="s">
        <v>462</v>
      </c>
      <c r="D161" s="1" t="s">
        <v>463</v>
      </c>
      <c r="E161" s="2">
        <v>799</v>
      </c>
      <c r="F161" s="6">
        <v>68</v>
      </c>
      <c r="G161" s="2">
        <v>22</v>
      </c>
      <c r="H161" s="2">
        <v>82</v>
      </c>
      <c r="I161" s="1" t="s">
        <v>21</v>
      </c>
      <c r="J161" s="2">
        <f>Table1[[#This Row],[Price (PKR)]]*Table1[[#This Row],[Number Sold]]</f>
        <v>17578</v>
      </c>
    </row>
    <row r="162" spans="1:10" ht="29" x14ac:dyDescent="0.35">
      <c r="A162">
        <v>1361</v>
      </c>
      <c r="B162" s="1" t="s">
        <v>464</v>
      </c>
      <c r="C162" s="2" t="s">
        <v>465</v>
      </c>
      <c r="D162" s="1" t="s">
        <v>264</v>
      </c>
      <c r="E162" s="2">
        <v>899</v>
      </c>
      <c r="F162" s="6">
        <v>18</v>
      </c>
      <c r="G162" s="2">
        <v>581</v>
      </c>
      <c r="H162" s="2">
        <v>82</v>
      </c>
      <c r="I162" s="1" t="s">
        <v>11</v>
      </c>
      <c r="J162" s="2">
        <f>Table1[[#This Row],[Price (PKR)]]*Table1[[#This Row],[Number Sold]]</f>
        <v>522319</v>
      </c>
    </row>
    <row r="163" spans="1:10" ht="29" x14ac:dyDescent="0.35">
      <c r="A163">
        <v>1362</v>
      </c>
      <c r="B163" s="1" t="s">
        <v>466</v>
      </c>
      <c r="C163" s="2" t="s">
        <v>467</v>
      </c>
      <c r="D163" s="1" t="s">
        <v>468</v>
      </c>
      <c r="E163" s="2">
        <v>8995</v>
      </c>
      <c r="F163" s="6">
        <v>47</v>
      </c>
      <c r="G163" s="2">
        <v>5</v>
      </c>
      <c r="H163" s="2">
        <v>82</v>
      </c>
      <c r="I163" s="1" t="s">
        <v>21</v>
      </c>
      <c r="J163" s="2">
        <f>Table1[[#This Row],[Price (PKR)]]*Table1[[#This Row],[Number Sold]]</f>
        <v>44975</v>
      </c>
    </row>
    <row r="164" spans="1:10" ht="58" x14ac:dyDescent="0.35">
      <c r="A164">
        <v>1363</v>
      </c>
      <c r="B164" s="1" t="s">
        <v>469</v>
      </c>
      <c r="C164" s="2" t="s">
        <v>470</v>
      </c>
      <c r="D164" s="1" t="s">
        <v>471</v>
      </c>
      <c r="E164" s="2">
        <v>9403</v>
      </c>
      <c r="F164" s="6">
        <v>37</v>
      </c>
      <c r="G164" s="2">
        <v>7</v>
      </c>
      <c r="H164" s="2">
        <v>82</v>
      </c>
      <c r="I164" s="1" t="s">
        <v>11</v>
      </c>
      <c r="J164" s="2">
        <f>Table1[[#This Row],[Price (PKR)]]*Table1[[#This Row],[Number Sold]]</f>
        <v>65821</v>
      </c>
    </row>
    <row r="165" spans="1:10" ht="29" x14ac:dyDescent="0.35">
      <c r="A165">
        <v>1364</v>
      </c>
      <c r="B165" s="1" t="s">
        <v>472</v>
      </c>
      <c r="C165" s="2" t="s">
        <v>473</v>
      </c>
      <c r="D165" s="1" t="s">
        <v>474</v>
      </c>
      <c r="E165" s="2">
        <v>8000</v>
      </c>
      <c r="F165" s="6">
        <v>47</v>
      </c>
      <c r="G165" s="2">
        <v>607</v>
      </c>
      <c r="H165" s="2">
        <v>82</v>
      </c>
      <c r="I165" s="1" t="s">
        <v>11</v>
      </c>
      <c r="J165" s="2">
        <f>Table1[[#This Row],[Price (PKR)]]*Table1[[#This Row],[Number Sold]]</f>
        <v>4856000</v>
      </c>
    </row>
    <row r="166" spans="1:10" ht="43.5" x14ac:dyDescent="0.35">
      <c r="A166">
        <v>1365</v>
      </c>
      <c r="B166" s="1" t="s">
        <v>475</v>
      </c>
      <c r="C166" s="2" t="s">
        <v>476</v>
      </c>
      <c r="D166" s="1" t="s">
        <v>477</v>
      </c>
      <c r="E166" s="2">
        <v>1064</v>
      </c>
      <c r="F166" s="6">
        <v>47</v>
      </c>
      <c r="G166" s="2">
        <v>16</v>
      </c>
      <c r="H166" s="2">
        <v>82</v>
      </c>
      <c r="I166" s="1" t="s">
        <v>11</v>
      </c>
      <c r="J166" s="2">
        <f>Table1[[#This Row],[Price (PKR)]]*Table1[[#This Row],[Number Sold]]</f>
        <v>17024</v>
      </c>
    </row>
    <row r="167" spans="1:10" ht="29" x14ac:dyDescent="0.35">
      <c r="A167">
        <v>1366</v>
      </c>
      <c r="B167" s="1" t="s">
        <v>478</v>
      </c>
      <c r="C167" s="2" t="s">
        <v>479</v>
      </c>
      <c r="D167" s="1" t="s">
        <v>480</v>
      </c>
      <c r="E167" s="2">
        <v>4700</v>
      </c>
      <c r="F167" s="6">
        <v>47</v>
      </c>
      <c r="G167" s="2">
        <v>607</v>
      </c>
      <c r="H167" s="2">
        <v>82</v>
      </c>
      <c r="I167" s="1" t="s">
        <v>21</v>
      </c>
      <c r="J167" s="2">
        <f>Table1[[#This Row],[Price (PKR)]]*Table1[[#This Row],[Number Sold]]</f>
        <v>2852900</v>
      </c>
    </row>
    <row r="168" spans="1:10" ht="29" x14ac:dyDescent="0.35">
      <c r="A168">
        <v>1367</v>
      </c>
      <c r="B168" s="1" t="s">
        <v>481</v>
      </c>
      <c r="C168" s="2" t="s">
        <v>482</v>
      </c>
      <c r="D168" s="1" t="s">
        <v>483</v>
      </c>
      <c r="E168" s="2">
        <v>7500</v>
      </c>
      <c r="F168" s="6">
        <v>47</v>
      </c>
      <c r="G168" s="2">
        <v>607</v>
      </c>
      <c r="H168" s="2">
        <v>82</v>
      </c>
      <c r="I168" s="1" t="s">
        <v>21</v>
      </c>
      <c r="J168" s="2">
        <f>Table1[[#This Row],[Price (PKR)]]*Table1[[#This Row],[Number Sold]]</f>
        <v>4552500</v>
      </c>
    </row>
    <row r="169" spans="1:10" ht="58" x14ac:dyDescent="0.35">
      <c r="A169">
        <v>1368</v>
      </c>
      <c r="B169" s="1" t="s">
        <v>484</v>
      </c>
      <c r="C169" s="2" t="s">
        <v>485</v>
      </c>
      <c r="D169" s="1" t="s">
        <v>486</v>
      </c>
      <c r="E169" s="2">
        <v>999</v>
      </c>
      <c r="F169" s="6">
        <v>50</v>
      </c>
      <c r="G169" s="2">
        <v>79</v>
      </c>
      <c r="H169" s="2">
        <v>82</v>
      </c>
      <c r="I169" s="1" t="s">
        <v>21</v>
      </c>
      <c r="J169" s="2">
        <f>Table1[[#This Row],[Price (PKR)]]*Table1[[#This Row],[Number Sold]]</f>
        <v>78921</v>
      </c>
    </row>
    <row r="170" spans="1:10" ht="29" x14ac:dyDescent="0.35">
      <c r="A170">
        <v>1369</v>
      </c>
      <c r="B170" s="1" t="s">
        <v>487</v>
      </c>
      <c r="C170" s="2" t="s">
        <v>488</v>
      </c>
      <c r="D170" s="1" t="s">
        <v>489</v>
      </c>
      <c r="E170" s="2">
        <v>2489</v>
      </c>
      <c r="F170" s="6">
        <v>29</v>
      </c>
      <c r="G170" s="2">
        <v>26</v>
      </c>
      <c r="H170" s="2">
        <v>82</v>
      </c>
      <c r="I170" s="1" t="s">
        <v>11</v>
      </c>
      <c r="J170" s="2">
        <f>Table1[[#This Row],[Price (PKR)]]*Table1[[#This Row],[Number Sold]]</f>
        <v>64714</v>
      </c>
    </row>
    <row r="171" spans="1:10" ht="29" x14ac:dyDescent="0.35">
      <c r="A171">
        <v>1370</v>
      </c>
      <c r="B171" s="1" t="s">
        <v>490</v>
      </c>
      <c r="C171" s="2" t="s">
        <v>491</v>
      </c>
      <c r="D171" s="1" t="s">
        <v>492</v>
      </c>
      <c r="E171" s="2">
        <v>1099</v>
      </c>
      <c r="F171" s="6">
        <v>31</v>
      </c>
      <c r="G171" s="2">
        <v>12</v>
      </c>
      <c r="H171" s="2">
        <v>82</v>
      </c>
      <c r="I171" s="1" t="s">
        <v>11</v>
      </c>
      <c r="J171" s="2">
        <f>Table1[[#This Row],[Price (PKR)]]*Table1[[#This Row],[Number Sold]]</f>
        <v>13188</v>
      </c>
    </row>
    <row r="172" spans="1:10" ht="29" x14ac:dyDescent="0.35">
      <c r="A172">
        <v>1371</v>
      </c>
      <c r="B172" s="1" t="s">
        <v>493</v>
      </c>
      <c r="C172" s="2" t="s">
        <v>494</v>
      </c>
      <c r="D172" s="1" t="s">
        <v>495</v>
      </c>
      <c r="E172" s="2">
        <v>2399</v>
      </c>
      <c r="F172" s="6">
        <v>20</v>
      </c>
      <c r="G172" s="2">
        <v>5</v>
      </c>
      <c r="H172" s="2">
        <v>82</v>
      </c>
      <c r="I172" s="1" t="s">
        <v>21</v>
      </c>
      <c r="J172" s="2">
        <f>Table1[[#This Row],[Price (PKR)]]*Table1[[#This Row],[Number Sold]]</f>
        <v>11995</v>
      </c>
    </row>
    <row r="173" spans="1:10" ht="43.5" x14ac:dyDescent="0.35">
      <c r="A173">
        <v>1372</v>
      </c>
      <c r="B173" s="1" t="s">
        <v>324</v>
      </c>
      <c r="C173" s="2" t="s">
        <v>496</v>
      </c>
      <c r="D173" s="1" t="s">
        <v>497</v>
      </c>
      <c r="E173" s="2">
        <v>899</v>
      </c>
      <c r="F173" s="6">
        <v>44</v>
      </c>
      <c r="G173" s="2">
        <v>229</v>
      </c>
      <c r="H173" s="2">
        <v>82</v>
      </c>
      <c r="I173" s="1" t="s">
        <v>21</v>
      </c>
      <c r="J173" s="2">
        <f>Table1[[#This Row],[Price (PKR)]]*Table1[[#This Row],[Number Sold]]</f>
        <v>205871</v>
      </c>
    </row>
    <row r="174" spans="1:10" ht="29" x14ac:dyDescent="0.35">
      <c r="A174">
        <v>1373</v>
      </c>
      <c r="B174" s="1" t="s">
        <v>498</v>
      </c>
      <c r="C174" s="2" t="s">
        <v>499</v>
      </c>
      <c r="D174" s="1" t="s">
        <v>500</v>
      </c>
      <c r="E174" s="2">
        <v>3500</v>
      </c>
      <c r="F174" s="6">
        <v>47</v>
      </c>
      <c r="G174" s="2">
        <v>607</v>
      </c>
      <c r="H174" s="2">
        <v>82</v>
      </c>
      <c r="I174" s="1" t="s">
        <v>11</v>
      </c>
      <c r="J174" s="2">
        <f>Table1[[#This Row],[Price (PKR)]]*Table1[[#This Row],[Number Sold]]</f>
        <v>2124500</v>
      </c>
    </row>
    <row r="175" spans="1:10" ht="29" x14ac:dyDescent="0.35">
      <c r="A175">
        <v>1374</v>
      </c>
      <c r="B175" s="1" t="s">
        <v>501</v>
      </c>
      <c r="C175" s="2" t="s">
        <v>502</v>
      </c>
      <c r="D175" s="1" t="s">
        <v>503</v>
      </c>
      <c r="E175" s="2">
        <v>1799</v>
      </c>
      <c r="F175" s="6">
        <v>60</v>
      </c>
      <c r="G175" s="2">
        <v>607</v>
      </c>
      <c r="H175" s="2">
        <v>82</v>
      </c>
      <c r="I175" s="1" t="s">
        <v>21</v>
      </c>
      <c r="J175" s="2">
        <f>Table1[[#This Row],[Price (PKR)]]*Table1[[#This Row],[Number Sold]]</f>
        <v>1091993</v>
      </c>
    </row>
    <row r="176" spans="1:10" ht="29" x14ac:dyDescent="0.35">
      <c r="A176">
        <v>1375</v>
      </c>
      <c r="B176" s="1" t="s">
        <v>504</v>
      </c>
      <c r="C176" s="2" t="s">
        <v>505</v>
      </c>
      <c r="D176" s="1" t="s">
        <v>506</v>
      </c>
      <c r="E176" s="2">
        <v>1366</v>
      </c>
      <c r="F176" s="6">
        <v>41</v>
      </c>
      <c r="G176" s="2">
        <v>125</v>
      </c>
      <c r="H176" s="2">
        <v>82</v>
      </c>
      <c r="I176" s="1" t="s">
        <v>21</v>
      </c>
      <c r="J176" s="2">
        <f>Table1[[#This Row],[Price (PKR)]]*Table1[[#This Row],[Number Sold]]</f>
        <v>170750</v>
      </c>
    </row>
    <row r="177" spans="1:10" ht="29" x14ac:dyDescent="0.35">
      <c r="A177">
        <v>1376</v>
      </c>
      <c r="B177" s="1" t="s">
        <v>507</v>
      </c>
      <c r="C177" s="2" t="s">
        <v>508</v>
      </c>
      <c r="D177" s="1" t="s">
        <v>509</v>
      </c>
      <c r="E177" s="2">
        <v>1456</v>
      </c>
      <c r="F177" s="6">
        <v>14</v>
      </c>
      <c r="G177" s="2">
        <v>6300</v>
      </c>
      <c r="H177" s="2">
        <v>82</v>
      </c>
      <c r="I177" s="1" t="s">
        <v>21</v>
      </c>
      <c r="J177" s="2">
        <f>Table1[[#This Row],[Price (PKR)]]*Table1[[#This Row],[Number Sold]]</f>
        <v>9172800</v>
      </c>
    </row>
    <row r="178" spans="1:10" ht="58" x14ac:dyDescent="0.35">
      <c r="A178">
        <v>1377</v>
      </c>
      <c r="B178" s="1" t="s">
        <v>510</v>
      </c>
      <c r="C178" s="2" t="s">
        <v>511</v>
      </c>
      <c r="D178" s="1" t="s">
        <v>512</v>
      </c>
      <c r="E178" s="2">
        <v>699</v>
      </c>
      <c r="F178" s="6">
        <v>83</v>
      </c>
      <c r="G178" s="2">
        <v>145</v>
      </c>
      <c r="H178" s="2">
        <v>82</v>
      </c>
      <c r="I178" s="1" t="s">
        <v>21</v>
      </c>
      <c r="J178" s="2">
        <f>Table1[[#This Row],[Price (PKR)]]*Table1[[#This Row],[Number Sold]]</f>
        <v>101355</v>
      </c>
    </row>
    <row r="179" spans="1:10" ht="29" x14ac:dyDescent="0.35">
      <c r="A179">
        <v>1378</v>
      </c>
      <c r="B179" s="1" t="s">
        <v>513</v>
      </c>
      <c r="C179" s="2" t="s">
        <v>514</v>
      </c>
      <c r="D179" s="1" t="s">
        <v>515</v>
      </c>
      <c r="E179" s="2">
        <v>1299</v>
      </c>
      <c r="F179" s="6">
        <v>48</v>
      </c>
      <c r="G179" s="2">
        <v>42</v>
      </c>
      <c r="H179" s="2">
        <v>82</v>
      </c>
      <c r="I179" s="1" t="s">
        <v>21</v>
      </c>
      <c r="J179" s="2">
        <f>Table1[[#This Row],[Price (PKR)]]*Table1[[#This Row],[Number Sold]]</f>
        <v>54558</v>
      </c>
    </row>
    <row r="180" spans="1:10" ht="29" x14ac:dyDescent="0.35">
      <c r="A180">
        <v>1379</v>
      </c>
      <c r="B180" s="1" t="s">
        <v>516</v>
      </c>
      <c r="C180" s="2" t="s">
        <v>517</v>
      </c>
      <c r="D180" s="1" t="s">
        <v>518</v>
      </c>
      <c r="E180" s="2">
        <v>4000</v>
      </c>
      <c r="F180" s="6">
        <v>47</v>
      </c>
      <c r="G180" s="2">
        <v>607</v>
      </c>
      <c r="H180" s="2">
        <v>82</v>
      </c>
      <c r="I180" s="1" t="s">
        <v>11</v>
      </c>
      <c r="J180" s="2">
        <f>Table1[[#This Row],[Price (PKR)]]*Table1[[#This Row],[Number Sold]]</f>
        <v>2428000</v>
      </c>
    </row>
    <row r="181" spans="1:10" ht="29" x14ac:dyDescent="0.35">
      <c r="A181">
        <v>1380</v>
      </c>
      <c r="B181" s="1" t="s">
        <v>519</v>
      </c>
      <c r="C181" s="2" t="s">
        <v>520</v>
      </c>
      <c r="D181" s="1" t="s">
        <v>521</v>
      </c>
      <c r="E181" s="2">
        <v>7999</v>
      </c>
      <c r="F181" s="6">
        <v>20</v>
      </c>
      <c r="G181" s="2">
        <v>607</v>
      </c>
      <c r="H181" s="2">
        <v>82</v>
      </c>
      <c r="I181" s="1" t="s">
        <v>11</v>
      </c>
      <c r="J181" s="2">
        <f>Table1[[#This Row],[Price (PKR)]]*Table1[[#This Row],[Number Sold]]</f>
        <v>4855393</v>
      </c>
    </row>
    <row r="182" spans="1:10" ht="29" x14ac:dyDescent="0.35">
      <c r="A182">
        <v>1381</v>
      </c>
      <c r="B182" s="1" t="s">
        <v>522</v>
      </c>
      <c r="C182" s="2" t="s">
        <v>523</v>
      </c>
      <c r="D182" s="1" t="s">
        <v>524</v>
      </c>
      <c r="E182" s="2">
        <v>6500</v>
      </c>
      <c r="F182" s="6">
        <v>35</v>
      </c>
      <c r="G182" s="2">
        <v>607</v>
      </c>
      <c r="H182" s="2">
        <v>82</v>
      </c>
      <c r="I182" s="1" t="s">
        <v>11</v>
      </c>
      <c r="J182" s="2">
        <f>Table1[[#This Row],[Price (PKR)]]*Table1[[#This Row],[Number Sold]]</f>
        <v>3945500</v>
      </c>
    </row>
    <row r="183" spans="1:10" ht="29" x14ac:dyDescent="0.35">
      <c r="A183">
        <v>1382</v>
      </c>
      <c r="B183" s="1" t="s">
        <v>525</v>
      </c>
      <c r="C183" s="2" t="s">
        <v>526</v>
      </c>
      <c r="D183" s="1" t="s">
        <v>407</v>
      </c>
      <c r="E183" s="2">
        <v>2499</v>
      </c>
      <c r="F183" s="6">
        <v>47</v>
      </c>
      <c r="G183" s="2">
        <v>168</v>
      </c>
      <c r="H183" s="2">
        <v>82</v>
      </c>
      <c r="I183" s="1" t="s">
        <v>21</v>
      </c>
      <c r="J183" s="2">
        <f>Table1[[#This Row],[Price (PKR)]]*Table1[[#This Row],[Number Sold]]</f>
        <v>419832</v>
      </c>
    </row>
    <row r="184" spans="1:10" ht="58" x14ac:dyDescent="0.35">
      <c r="A184">
        <v>1383</v>
      </c>
      <c r="B184" s="1" t="s">
        <v>527</v>
      </c>
      <c r="C184" s="2" t="s">
        <v>528</v>
      </c>
      <c r="D184" s="1" t="s">
        <v>529</v>
      </c>
      <c r="E184" s="2">
        <v>1349</v>
      </c>
      <c r="F184" s="6">
        <v>25</v>
      </c>
      <c r="G184" s="2">
        <v>9</v>
      </c>
      <c r="H184" s="2">
        <v>82</v>
      </c>
      <c r="I184" s="1" t="s">
        <v>21</v>
      </c>
      <c r="J184" s="2">
        <f>Table1[[#This Row],[Price (PKR)]]*Table1[[#This Row],[Number Sold]]</f>
        <v>12141</v>
      </c>
    </row>
    <row r="185" spans="1:10" ht="29" x14ac:dyDescent="0.35">
      <c r="A185">
        <v>1384</v>
      </c>
      <c r="B185" s="1" t="s">
        <v>530</v>
      </c>
      <c r="C185" s="2" t="s">
        <v>531</v>
      </c>
      <c r="D185" s="1" t="s">
        <v>532</v>
      </c>
      <c r="E185" s="2">
        <v>689</v>
      </c>
      <c r="F185" s="6">
        <v>66</v>
      </c>
      <c r="G185" s="2">
        <v>380</v>
      </c>
      <c r="H185" s="2">
        <v>82</v>
      </c>
      <c r="I185" s="1" t="s">
        <v>21</v>
      </c>
      <c r="J185" s="2">
        <f>Table1[[#This Row],[Price (PKR)]]*Table1[[#This Row],[Number Sold]]</f>
        <v>261820</v>
      </c>
    </row>
    <row r="186" spans="1:10" ht="29" x14ac:dyDescent="0.35">
      <c r="A186">
        <v>1385</v>
      </c>
      <c r="B186" s="1" t="s">
        <v>533</v>
      </c>
      <c r="C186" s="2" t="s">
        <v>534</v>
      </c>
      <c r="D186" s="1" t="s">
        <v>535</v>
      </c>
      <c r="E186" s="2">
        <v>1047</v>
      </c>
      <c r="F186" s="6">
        <v>48</v>
      </c>
      <c r="G186" s="2">
        <v>185</v>
      </c>
      <c r="H186" s="2">
        <v>82</v>
      </c>
      <c r="I186" s="1" t="s">
        <v>11</v>
      </c>
      <c r="J186" s="2">
        <f>Table1[[#This Row],[Price (PKR)]]*Table1[[#This Row],[Number Sold]]</f>
        <v>193695</v>
      </c>
    </row>
    <row r="187" spans="1:10" ht="29" x14ac:dyDescent="0.35">
      <c r="A187">
        <v>1386</v>
      </c>
      <c r="B187" s="1" t="s">
        <v>536</v>
      </c>
      <c r="C187" s="2" t="s">
        <v>537</v>
      </c>
      <c r="D187" s="1" t="s">
        <v>538</v>
      </c>
      <c r="E187" s="2">
        <v>1299</v>
      </c>
      <c r="F187" s="6">
        <v>41</v>
      </c>
      <c r="G187" s="2">
        <v>1200</v>
      </c>
      <c r="H187" s="2">
        <v>82</v>
      </c>
      <c r="I187" s="1" t="s">
        <v>21</v>
      </c>
      <c r="J187" s="2">
        <f>Table1[[#This Row],[Price (PKR)]]*Table1[[#This Row],[Number Sold]]</f>
        <v>1558800</v>
      </c>
    </row>
    <row r="188" spans="1:10" ht="29" x14ac:dyDescent="0.35">
      <c r="A188">
        <v>1387</v>
      </c>
      <c r="B188" s="1" t="s">
        <v>147</v>
      </c>
      <c r="C188" s="2" t="s">
        <v>539</v>
      </c>
      <c r="D188" s="1" t="s">
        <v>540</v>
      </c>
      <c r="E188" s="2">
        <v>1498</v>
      </c>
      <c r="F188" s="6">
        <v>70</v>
      </c>
      <c r="G188" s="2">
        <v>607</v>
      </c>
      <c r="H188" s="2">
        <v>82</v>
      </c>
      <c r="I188" s="1" t="s">
        <v>21</v>
      </c>
      <c r="J188" s="2">
        <f>Table1[[#This Row],[Price (PKR)]]*Table1[[#This Row],[Number Sold]]</f>
        <v>909286</v>
      </c>
    </row>
    <row r="189" spans="1:10" ht="29" x14ac:dyDescent="0.35">
      <c r="A189">
        <v>1388</v>
      </c>
      <c r="B189" s="1" t="s">
        <v>541</v>
      </c>
      <c r="C189" s="2" t="s">
        <v>542</v>
      </c>
      <c r="D189" s="1" t="s">
        <v>515</v>
      </c>
      <c r="E189" s="2">
        <v>1299</v>
      </c>
      <c r="F189" s="6">
        <v>48</v>
      </c>
      <c r="G189" s="2">
        <v>607</v>
      </c>
      <c r="H189" s="2">
        <v>82</v>
      </c>
      <c r="I189" s="1" t="s">
        <v>21</v>
      </c>
      <c r="J189" s="2">
        <f>Table1[[#This Row],[Price (PKR)]]*Table1[[#This Row],[Number Sold]]</f>
        <v>788493</v>
      </c>
    </row>
    <row r="190" spans="1:10" ht="29" x14ac:dyDescent="0.35">
      <c r="A190">
        <v>1389</v>
      </c>
      <c r="B190" s="1" t="s">
        <v>541</v>
      </c>
      <c r="C190" s="2" t="s">
        <v>543</v>
      </c>
      <c r="D190" s="1" t="s">
        <v>544</v>
      </c>
      <c r="E190" s="2">
        <v>1299</v>
      </c>
      <c r="F190" s="6">
        <v>48</v>
      </c>
      <c r="G190" s="2">
        <v>607</v>
      </c>
      <c r="H190" s="2">
        <v>82</v>
      </c>
      <c r="I190" s="1" t="s">
        <v>21</v>
      </c>
      <c r="J190" s="2">
        <f>Table1[[#This Row],[Price (PKR)]]*Table1[[#This Row],[Number Sold]]</f>
        <v>788493</v>
      </c>
    </row>
    <row r="191" spans="1:10" ht="29" x14ac:dyDescent="0.35">
      <c r="A191">
        <v>1390</v>
      </c>
      <c r="B191" s="1" t="s">
        <v>545</v>
      </c>
      <c r="C191" s="2" t="s">
        <v>546</v>
      </c>
      <c r="D191" s="1" t="s">
        <v>547</v>
      </c>
      <c r="E191" s="2">
        <v>1499</v>
      </c>
      <c r="F191" s="6">
        <v>25</v>
      </c>
      <c r="G191" s="2">
        <v>85</v>
      </c>
      <c r="H191" s="2">
        <v>82</v>
      </c>
      <c r="I191" s="1" t="s">
        <v>279</v>
      </c>
      <c r="J191" s="2">
        <f>Table1[[#This Row],[Price (PKR)]]*Table1[[#This Row],[Number Sold]]</f>
        <v>127415</v>
      </c>
    </row>
    <row r="192" spans="1:10" ht="29" x14ac:dyDescent="0.35">
      <c r="A192">
        <v>1391</v>
      </c>
      <c r="B192" s="1" t="s">
        <v>548</v>
      </c>
      <c r="C192" s="2" t="s">
        <v>549</v>
      </c>
      <c r="D192" s="1" t="s">
        <v>550</v>
      </c>
      <c r="E192" s="2">
        <v>1127</v>
      </c>
      <c r="F192" s="6">
        <v>62</v>
      </c>
      <c r="G192" s="2">
        <v>440</v>
      </c>
      <c r="H192" s="2">
        <v>82</v>
      </c>
      <c r="I192" s="1" t="s">
        <v>21</v>
      </c>
      <c r="J192" s="2">
        <f>Table1[[#This Row],[Price (PKR)]]*Table1[[#This Row],[Number Sold]]</f>
        <v>495880</v>
      </c>
    </row>
    <row r="193" spans="1:10" ht="29" x14ac:dyDescent="0.35">
      <c r="A193">
        <v>1392</v>
      </c>
      <c r="B193" s="1" t="s">
        <v>551</v>
      </c>
      <c r="C193" s="2" t="s">
        <v>552</v>
      </c>
      <c r="D193" s="1" t="s">
        <v>553</v>
      </c>
      <c r="E193" s="2">
        <v>4000</v>
      </c>
      <c r="F193" s="6">
        <v>47</v>
      </c>
      <c r="G193" s="2">
        <v>607</v>
      </c>
      <c r="H193" s="2">
        <v>82</v>
      </c>
      <c r="I193" s="1" t="s">
        <v>11</v>
      </c>
      <c r="J193" s="2">
        <f>Table1[[#This Row],[Price (PKR)]]*Table1[[#This Row],[Number Sold]]</f>
        <v>2428000</v>
      </c>
    </row>
    <row r="194" spans="1:10" ht="29" x14ac:dyDescent="0.35">
      <c r="A194">
        <v>1393</v>
      </c>
      <c r="B194" s="1" t="s">
        <v>554</v>
      </c>
      <c r="C194" s="2" t="s">
        <v>555</v>
      </c>
      <c r="D194" s="1" t="s">
        <v>110</v>
      </c>
      <c r="E194" s="2">
        <v>1299</v>
      </c>
      <c r="F194" s="6">
        <v>48</v>
      </c>
      <c r="G194" s="2">
        <v>103</v>
      </c>
      <c r="H194" s="2">
        <v>82</v>
      </c>
      <c r="I194" s="1" t="s">
        <v>21</v>
      </c>
      <c r="J194" s="2">
        <f>Table1[[#This Row],[Price (PKR)]]*Table1[[#This Row],[Number Sold]]</f>
        <v>133797</v>
      </c>
    </row>
    <row r="195" spans="1:10" ht="29" x14ac:dyDescent="0.35">
      <c r="A195">
        <v>1394</v>
      </c>
      <c r="B195" s="1" t="s">
        <v>556</v>
      </c>
      <c r="C195" s="2" t="s">
        <v>557</v>
      </c>
      <c r="D195" s="1" t="s">
        <v>558</v>
      </c>
      <c r="E195" s="2">
        <v>1700</v>
      </c>
      <c r="F195" s="6">
        <v>47</v>
      </c>
      <c r="G195" s="2">
        <v>607</v>
      </c>
      <c r="H195" s="2">
        <v>82</v>
      </c>
      <c r="I195" s="1" t="s">
        <v>21</v>
      </c>
      <c r="J195" s="2">
        <f>Table1[[#This Row],[Price (PKR)]]*Table1[[#This Row],[Number Sold]]</f>
        <v>1031900</v>
      </c>
    </row>
    <row r="196" spans="1:10" ht="43.5" x14ac:dyDescent="0.35">
      <c r="A196">
        <v>1395</v>
      </c>
      <c r="B196" s="1" t="s">
        <v>559</v>
      </c>
      <c r="C196" s="2" t="s">
        <v>560</v>
      </c>
      <c r="D196" s="1" t="s">
        <v>561</v>
      </c>
      <c r="E196" s="2">
        <v>1299</v>
      </c>
      <c r="F196" s="6">
        <v>41</v>
      </c>
      <c r="G196" s="2">
        <v>10</v>
      </c>
      <c r="H196" s="2">
        <v>82</v>
      </c>
      <c r="I196" s="1" t="s">
        <v>21</v>
      </c>
      <c r="J196" s="2">
        <f>Table1[[#This Row],[Price (PKR)]]*Table1[[#This Row],[Number Sold]]</f>
        <v>12990</v>
      </c>
    </row>
    <row r="197" spans="1:10" ht="29" x14ac:dyDescent="0.35">
      <c r="A197">
        <v>1396</v>
      </c>
      <c r="B197" s="1" t="s">
        <v>562</v>
      </c>
      <c r="C197" s="2" t="s">
        <v>563</v>
      </c>
      <c r="D197" s="1" t="s">
        <v>564</v>
      </c>
      <c r="E197" s="2">
        <v>6097</v>
      </c>
      <c r="F197" s="6">
        <v>13</v>
      </c>
      <c r="G197" s="2">
        <v>107</v>
      </c>
      <c r="H197" s="2">
        <v>82</v>
      </c>
      <c r="I197" s="1" t="s">
        <v>11</v>
      </c>
      <c r="J197" s="2">
        <f>Table1[[#This Row],[Price (PKR)]]*Table1[[#This Row],[Number Sold]]</f>
        <v>652379</v>
      </c>
    </row>
    <row r="198" spans="1:10" ht="29" x14ac:dyDescent="0.35">
      <c r="A198">
        <v>1397</v>
      </c>
      <c r="B198" s="1" t="s">
        <v>565</v>
      </c>
      <c r="C198" s="2" t="s">
        <v>566</v>
      </c>
      <c r="D198" s="1" t="s">
        <v>567</v>
      </c>
      <c r="E198" s="2">
        <v>1157</v>
      </c>
      <c r="F198" s="6">
        <v>41</v>
      </c>
      <c r="G198" s="2">
        <v>649</v>
      </c>
      <c r="H198" s="2">
        <v>82</v>
      </c>
      <c r="I198" s="1" t="s">
        <v>21</v>
      </c>
      <c r="J198" s="2">
        <f>Table1[[#This Row],[Price (PKR)]]*Table1[[#This Row],[Number Sold]]</f>
        <v>750893</v>
      </c>
    </row>
    <row r="199" spans="1:10" ht="43.5" x14ac:dyDescent="0.35">
      <c r="A199">
        <v>1398</v>
      </c>
      <c r="B199" s="1" t="s">
        <v>568</v>
      </c>
      <c r="C199" s="2" t="s">
        <v>569</v>
      </c>
      <c r="D199" s="1" t="s">
        <v>110</v>
      </c>
      <c r="E199" s="2">
        <v>1299</v>
      </c>
      <c r="F199" s="6">
        <v>48</v>
      </c>
      <c r="G199" s="2">
        <v>607</v>
      </c>
      <c r="H199" s="2">
        <v>82</v>
      </c>
      <c r="I199" s="1" t="s">
        <v>21</v>
      </c>
      <c r="J199" s="2">
        <f>Table1[[#This Row],[Price (PKR)]]*Table1[[#This Row],[Number Sold]]</f>
        <v>788493</v>
      </c>
    </row>
    <row r="200" spans="1:10" ht="43.5" x14ac:dyDescent="0.35">
      <c r="A200">
        <v>1399</v>
      </c>
      <c r="B200" s="1" t="s">
        <v>570</v>
      </c>
      <c r="C200" s="2" t="s">
        <v>571</v>
      </c>
      <c r="D200" s="1" t="s">
        <v>572</v>
      </c>
      <c r="E200" s="2">
        <v>799</v>
      </c>
      <c r="F200" s="6">
        <v>68</v>
      </c>
      <c r="G200" s="2">
        <v>75</v>
      </c>
      <c r="H200" s="2">
        <v>82</v>
      </c>
      <c r="I200" s="1" t="s">
        <v>21</v>
      </c>
      <c r="J200" s="2">
        <f>Table1[[#This Row],[Price (PKR)]]*Table1[[#This Row],[Number Sold]]</f>
        <v>59925</v>
      </c>
    </row>
    <row r="201" spans="1:10" ht="29" x14ac:dyDescent="0.35">
      <c r="A201">
        <v>1400</v>
      </c>
      <c r="B201" s="1" t="s">
        <v>573</v>
      </c>
      <c r="C201" s="2" t="s">
        <v>574</v>
      </c>
      <c r="D201" s="1" t="s">
        <v>575</v>
      </c>
      <c r="E201" s="2">
        <v>3000</v>
      </c>
      <c r="F201" s="6">
        <v>47</v>
      </c>
      <c r="G201" s="2">
        <v>607</v>
      </c>
      <c r="H201" s="2">
        <v>82</v>
      </c>
      <c r="I201" s="1" t="s">
        <v>21</v>
      </c>
      <c r="J201" s="2">
        <f>Table1[[#This Row],[Price (PKR)]]*Table1[[#This Row],[Number Sold]]</f>
        <v>1821000</v>
      </c>
    </row>
    <row r="202" spans="1:10" ht="29" x14ac:dyDescent="0.35">
      <c r="A202">
        <v>1401</v>
      </c>
      <c r="B202" s="1" t="s">
        <v>576</v>
      </c>
      <c r="C202" s="2" t="s">
        <v>577</v>
      </c>
      <c r="D202" s="1" t="s">
        <v>578</v>
      </c>
      <c r="E202" s="2">
        <v>8045</v>
      </c>
      <c r="F202" s="6">
        <v>27</v>
      </c>
      <c r="G202" s="2">
        <v>38</v>
      </c>
      <c r="H202" s="2">
        <v>4</v>
      </c>
      <c r="I202" s="1" t="s">
        <v>11</v>
      </c>
      <c r="J202" s="2">
        <f>Table1[[#This Row],[Price (PKR)]]*Table1[[#This Row],[Number Sold]]</f>
        <v>305710</v>
      </c>
    </row>
    <row r="203" spans="1:10" ht="58" x14ac:dyDescent="0.35">
      <c r="A203">
        <v>1402</v>
      </c>
      <c r="B203" s="1" t="s">
        <v>579</v>
      </c>
      <c r="C203" s="2" t="s">
        <v>580</v>
      </c>
      <c r="D203" s="1" t="s">
        <v>581</v>
      </c>
      <c r="E203" s="2">
        <v>2499</v>
      </c>
      <c r="F203" s="6">
        <v>55</v>
      </c>
      <c r="G203" s="2">
        <v>607</v>
      </c>
      <c r="H203" s="2">
        <v>82</v>
      </c>
      <c r="I203" s="1" t="s">
        <v>11</v>
      </c>
      <c r="J203" s="2">
        <f>Table1[[#This Row],[Price (PKR)]]*Table1[[#This Row],[Number Sold]]</f>
        <v>1516893</v>
      </c>
    </row>
    <row r="204" spans="1:10" ht="58" x14ac:dyDescent="0.35">
      <c r="A204">
        <v>1403</v>
      </c>
      <c r="B204" s="1" t="s">
        <v>582</v>
      </c>
      <c r="C204" s="2" t="s">
        <v>583</v>
      </c>
      <c r="D204" s="1" t="s">
        <v>584</v>
      </c>
      <c r="E204" s="2">
        <v>1171</v>
      </c>
      <c r="F204" s="6">
        <v>61</v>
      </c>
      <c r="G204" s="2">
        <v>21</v>
      </c>
      <c r="H204" s="2">
        <v>8</v>
      </c>
      <c r="I204" s="1" t="s">
        <v>11</v>
      </c>
      <c r="J204" s="2">
        <f>Table1[[#This Row],[Price (PKR)]]*Table1[[#This Row],[Number Sold]]</f>
        <v>24591</v>
      </c>
    </row>
    <row r="205" spans="1:10" ht="29" x14ac:dyDescent="0.35">
      <c r="A205">
        <v>1404</v>
      </c>
      <c r="B205" s="1" t="s">
        <v>585</v>
      </c>
      <c r="C205" s="2" t="s">
        <v>586</v>
      </c>
      <c r="D205" s="1" t="s">
        <v>587</v>
      </c>
      <c r="E205" s="2">
        <v>6700</v>
      </c>
      <c r="F205" s="6">
        <v>12</v>
      </c>
      <c r="G205" s="2">
        <v>607</v>
      </c>
      <c r="H205" s="2">
        <v>1</v>
      </c>
      <c r="I205" s="1" t="s">
        <v>11</v>
      </c>
      <c r="J205" s="2">
        <f>Table1[[#This Row],[Price (PKR)]]*Table1[[#This Row],[Number Sold]]</f>
        <v>4066900</v>
      </c>
    </row>
    <row r="206" spans="1:10" ht="72.5" x14ac:dyDescent="0.35">
      <c r="A206">
        <v>1405</v>
      </c>
      <c r="B206" s="1" t="s">
        <v>588</v>
      </c>
      <c r="C206" s="2" t="s">
        <v>589</v>
      </c>
      <c r="D206" s="1" t="s">
        <v>590</v>
      </c>
      <c r="E206" s="2">
        <v>1548</v>
      </c>
      <c r="F206" s="6">
        <v>38</v>
      </c>
      <c r="G206" s="2">
        <v>32</v>
      </c>
      <c r="H206" s="2">
        <v>3</v>
      </c>
      <c r="I206" s="1" t="s">
        <v>21</v>
      </c>
      <c r="J206" s="2">
        <f>Table1[[#This Row],[Price (PKR)]]*Table1[[#This Row],[Number Sold]]</f>
        <v>49536</v>
      </c>
    </row>
    <row r="207" spans="1:10" ht="58" x14ac:dyDescent="0.35">
      <c r="A207">
        <v>1406</v>
      </c>
      <c r="B207" s="1" t="s">
        <v>591</v>
      </c>
      <c r="C207" s="2" t="s">
        <v>592</v>
      </c>
      <c r="D207" s="1" t="s">
        <v>593</v>
      </c>
      <c r="E207" s="2">
        <v>1349</v>
      </c>
      <c r="F207" s="6">
        <v>33</v>
      </c>
      <c r="G207" s="2">
        <v>607</v>
      </c>
      <c r="H207" s="2">
        <v>1</v>
      </c>
      <c r="I207" s="1" t="s">
        <v>21</v>
      </c>
      <c r="J207" s="2">
        <f>Table1[[#This Row],[Price (PKR)]]*Table1[[#This Row],[Number Sold]]</f>
        <v>818843</v>
      </c>
    </row>
    <row r="208" spans="1:10" ht="29" x14ac:dyDescent="0.35">
      <c r="A208">
        <v>1407</v>
      </c>
      <c r="B208" s="1" t="s">
        <v>594</v>
      </c>
      <c r="C208" s="2" t="s">
        <v>595</v>
      </c>
      <c r="D208" s="1" t="s">
        <v>596</v>
      </c>
      <c r="E208" s="2">
        <v>899</v>
      </c>
      <c r="F208" s="6">
        <v>18</v>
      </c>
      <c r="G208" s="2">
        <v>13</v>
      </c>
      <c r="H208" s="2">
        <v>3</v>
      </c>
      <c r="I208" s="1" t="s">
        <v>11</v>
      </c>
      <c r="J208" s="2">
        <f>Table1[[#This Row],[Price (PKR)]]*Table1[[#This Row],[Number Sold]]</f>
        <v>11687</v>
      </c>
    </row>
    <row r="209" spans="1:10" ht="43.5" x14ac:dyDescent="0.35">
      <c r="A209">
        <v>1408</v>
      </c>
      <c r="B209" s="1" t="s">
        <v>597</v>
      </c>
      <c r="C209" s="2" t="s">
        <v>598</v>
      </c>
      <c r="D209" s="1" t="s">
        <v>599</v>
      </c>
      <c r="E209" s="2">
        <v>872</v>
      </c>
      <c r="F209" s="6">
        <v>62</v>
      </c>
      <c r="G209" s="2">
        <v>86</v>
      </c>
      <c r="H209" s="2">
        <v>19</v>
      </c>
      <c r="I209" s="1" t="s">
        <v>21</v>
      </c>
      <c r="J209" s="2">
        <f>Table1[[#This Row],[Price (PKR)]]*Table1[[#This Row],[Number Sold]]</f>
        <v>74992</v>
      </c>
    </row>
    <row r="210" spans="1:10" ht="43.5" x14ac:dyDescent="0.35">
      <c r="A210">
        <v>1409</v>
      </c>
      <c r="B210" s="1" t="s">
        <v>597</v>
      </c>
      <c r="C210" s="2" t="s">
        <v>600</v>
      </c>
      <c r="D210" s="1" t="s">
        <v>601</v>
      </c>
      <c r="E210" s="2">
        <v>870</v>
      </c>
      <c r="F210" s="6">
        <v>62</v>
      </c>
      <c r="G210" s="2">
        <v>242</v>
      </c>
      <c r="H210" s="2">
        <v>41</v>
      </c>
      <c r="I210" s="1" t="s">
        <v>21</v>
      </c>
      <c r="J210" s="2">
        <f>Table1[[#This Row],[Price (PKR)]]*Table1[[#This Row],[Number Sold]]</f>
        <v>210540</v>
      </c>
    </row>
    <row r="211" spans="1:10" ht="29" x14ac:dyDescent="0.35">
      <c r="A211">
        <v>1410</v>
      </c>
      <c r="B211" s="1" t="s">
        <v>602</v>
      </c>
      <c r="C211" s="2" t="s">
        <v>603</v>
      </c>
      <c r="D211" s="1" t="s">
        <v>604</v>
      </c>
      <c r="E211" s="2">
        <v>2599</v>
      </c>
      <c r="F211" s="6">
        <v>47</v>
      </c>
      <c r="G211" s="2">
        <v>607</v>
      </c>
      <c r="H211" s="2">
        <v>1</v>
      </c>
      <c r="I211" s="1" t="s">
        <v>21</v>
      </c>
      <c r="J211" s="2">
        <f>Table1[[#This Row],[Price (PKR)]]*Table1[[#This Row],[Number Sold]]</f>
        <v>1577593</v>
      </c>
    </row>
    <row r="212" spans="1:10" ht="29" x14ac:dyDescent="0.35">
      <c r="A212">
        <v>1411</v>
      </c>
      <c r="B212" s="1" t="s">
        <v>605</v>
      </c>
      <c r="C212" s="2" t="s">
        <v>606</v>
      </c>
      <c r="D212" s="1" t="s">
        <v>607</v>
      </c>
      <c r="E212" s="2">
        <v>4499</v>
      </c>
      <c r="F212" s="6">
        <v>47</v>
      </c>
      <c r="G212" s="2">
        <v>607</v>
      </c>
      <c r="H212" s="2">
        <v>1</v>
      </c>
      <c r="I212" s="1" t="s">
        <v>21</v>
      </c>
      <c r="J212" s="2">
        <f>Table1[[#This Row],[Price (PKR)]]*Table1[[#This Row],[Number Sold]]</f>
        <v>2730893</v>
      </c>
    </row>
    <row r="213" spans="1:10" ht="29" x14ac:dyDescent="0.35">
      <c r="A213">
        <v>1412</v>
      </c>
      <c r="B213" s="1" t="s">
        <v>608</v>
      </c>
      <c r="C213" s="2" t="s">
        <v>609</v>
      </c>
      <c r="D213" s="1" t="s">
        <v>610</v>
      </c>
      <c r="E213" s="2">
        <v>7499</v>
      </c>
      <c r="F213" s="6">
        <v>47</v>
      </c>
      <c r="G213" s="2">
        <v>607</v>
      </c>
      <c r="H213" s="2">
        <v>82</v>
      </c>
      <c r="I213" s="1" t="s">
        <v>11</v>
      </c>
      <c r="J213" s="2">
        <f>Table1[[#This Row],[Price (PKR)]]*Table1[[#This Row],[Number Sold]]</f>
        <v>4551893</v>
      </c>
    </row>
    <row r="214" spans="1:10" ht="29" x14ac:dyDescent="0.35">
      <c r="A214">
        <v>1413</v>
      </c>
      <c r="B214" s="1" t="s">
        <v>611</v>
      </c>
      <c r="C214" s="2" t="s">
        <v>612</v>
      </c>
      <c r="D214" s="1" t="s">
        <v>613</v>
      </c>
      <c r="E214" s="2">
        <v>8000</v>
      </c>
      <c r="F214" s="6">
        <v>47</v>
      </c>
      <c r="G214" s="2">
        <v>607</v>
      </c>
      <c r="H214" s="2">
        <v>82</v>
      </c>
      <c r="I214" s="1" t="s">
        <v>97</v>
      </c>
      <c r="J214" s="2">
        <f>Table1[[#This Row],[Price (PKR)]]*Table1[[#This Row],[Number Sold]]</f>
        <v>4856000</v>
      </c>
    </row>
    <row r="215" spans="1:10" ht="29" x14ac:dyDescent="0.35">
      <c r="A215">
        <v>1414</v>
      </c>
      <c r="B215" s="1" t="s">
        <v>614</v>
      </c>
      <c r="C215" s="2" t="s">
        <v>615</v>
      </c>
      <c r="D215" s="1" t="s">
        <v>616</v>
      </c>
      <c r="E215" s="2">
        <v>589</v>
      </c>
      <c r="F215" s="6">
        <v>71</v>
      </c>
      <c r="G215" s="2">
        <v>151</v>
      </c>
      <c r="H215" s="2">
        <v>49</v>
      </c>
      <c r="I215" s="1" t="s">
        <v>21</v>
      </c>
      <c r="J215" s="2">
        <f>Table1[[#This Row],[Price (PKR)]]*Table1[[#This Row],[Number Sold]]</f>
        <v>88939</v>
      </c>
    </row>
    <row r="216" spans="1:10" ht="43.5" x14ac:dyDescent="0.35">
      <c r="A216">
        <v>1415</v>
      </c>
      <c r="B216" s="1" t="s">
        <v>617</v>
      </c>
      <c r="C216" s="2" t="s">
        <v>618</v>
      </c>
      <c r="D216" s="1" t="s">
        <v>619</v>
      </c>
      <c r="E216" s="2">
        <v>706</v>
      </c>
      <c r="F216" s="6">
        <v>65</v>
      </c>
      <c r="G216" s="2">
        <v>3700</v>
      </c>
      <c r="H216" s="2">
        <v>628</v>
      </c>
      <c r="I216" s="1" t="s">
        <v>21</v>
      </c>
      <c r="J216" s="2">
        <f>Table1[[#This Row],[Price (PKR)]]*Table1[[#This Row],[Number Sold]]</f>
        <v>2612200</v>
      </c>
    </row>
    <row r="217" spans="1:10" ht="29" x14ac:dyDescent="0.35">
      <c r="A217">
        <v>1416</v>
      </c>
      <c r="B217" s="1" t="s">
        <v>620</v>
      </c>
      <c r="C217" s="2" t="s">
        <v>621</v>
      </c>
      <c r="D217" s="1" t="s">
        <v>622</v>
      </c>
      <c r="E217" s="2">
        <v>3115</v>
      </c>
      <c r="F217" s="6">
        <v>26</v>
      </c>
      <c r="G217" s="2">
        <v>301</v>
      </c>
      <c r="H217" s="2">
        <v>67</v>
      </c>
      <c r="I217" s="1" t="s">
        <v>21</v>
      </c>
      <c r="J217" s="2">
        <f>Table1[[#This Row],[Price (PKR)]]*Table1[[#This Row],[Number Sold]]</f>
        <v>937615</v>
      </c>
    </row>
    <row r="218" spans="1:10" ht="29" x14ac:dyDescent="0.35">
      <c r="A218">
        <v>1417</v>
      </c>
      <c r="B218" s="1" t="s">
        <v>623</v>
      </c>
      <c r="C218" s="2" t="s">
        <v>624</v>
      </c>
      <c r="D218" s="1" t="s">
        <v>625</v>
      </c>
      <c r="E218" s="2">
        <v>2199</v>
      </c>
      <c r="F218" s="6">
        <v>45</v>
      </c>
      <c r="G218" s="2">
        <v>607</v>
      </c>
      <c r="H218" s="2">
        <v>82</v>
      </c>
      <c r="I218" s="1" t="s">
        <v>21</v>
      </c>
      <c r="J218" s="2">
        <f>Table1[[#This Row],[Price (PKR)]]*Table1[[#This Row],[Number Sold]]</f>
        <v>1334793</v>
      </c>
    </row>
    <row r="219" spans="1:10" ht="43.5" x14ac:dyDescent="0.35">
      <c r="A219">
        <v>1418</v>
      </c>
      <c r="B219" s="1" t="s">
        <v>626</v>
      </c>
      <c r="C219" s="2" t="s">
        <v>627</v>
      </c>
      <c r="D219" s="1" t="s">
        <v>628</v>
      </c>
      <c r="E219" s="2">
        <v>1350</v>
      </c>
      <c r="F219" s="6">
        <v>44</v>
      </c>
      <c r="G219" s="2">
        <v>942</v>
      </c>
      <c r="H219" s="2">
        <v>236</v>
      </c>
      <c r="I219" s="1" t="s">
        <v>21</v>
      </c>
      <c r="J219" s="2">
        <f>Table1[[#This Row],[Price (PKR)]]*Table1[[#This Row],[Number Sold]]</f>
        <v>1271700</v>
      </c>
    </row>
    <row r="220" spans="1:10" ht="29" x14ac:dyDescent="0.35">
      <c r="A220">
        <v>1419</v>
      </c>
      <c r="B220" s="1" t="s">
        <v>629</v>
      </c>
      <c r="C220" s="2" t="s">
        <v>630</v>
      </c>
      <c r="D220" s="1" t="s">
        <v>631</v>
      </c>
      <c r="E220" s="2">
        <v>1141</v>
      </c>
      <c r="F220" s="6">
        <v>43</v>
      </c>
      <c r="G220" s="2">
        <v>780</v>
      </c>
      <c r="H220" s="2">
        <v>220</v>
      </c>
      <c r="I220" s="1" t="s">
        <v>21</v>
      </c>
      <c r="J220" s="2">
        <f>Table1[[#This Row],[Price (PKR)]]*Table1[[#This Row],[Number Sold]]</f>
        <v>889980</v>
      </c>
    </row>
    <row r="221" spans="1:10" ht="29" x14ac:dyDescent="0.35">
      <c r="A221">
        <v>1420</v>
      </c>
      <c r="B221" s="1" t="s">
        <v>632</v>
      </c>
      <c r="C221" s="2" t="s">
        <v>633</v>
      </c>
      <c r="D221" s="1" t="s">
        <v>634</v>
      </c>
      <c r="E221" s="2">
        <v>1239</v>
      </c>
      <c r="F221" s="6">
        <v>50</v>
      </c>
      <c r="G221" s="2">
        <v>45</v>
      </c>
      <c r="H221" s="2">
        <v>8</v>
      </c>
      <c r="I221" s="1" t="s">
        <v>21</v>
      </c>
      <c r="J221" s="2">
        <f>Table1[[#This Row],[Price (PKR)]]*Table1[[#This Row],[Number Sold]]</f>
        <v>55755</v>
      </c>
    </row>
    <row r="222" spans="1:10" ht="43.5" x14ac:dyDescent="0.35">
      <c r="A222">
        <v>1421</v>
      </c>
      <c r="B222" s="1" t="s">
        <v>635</v>
      </c>
      <c r="C222" s="2" t="s">
        <v>636</v>
      </c>
      <c r="D222" s="1" t="s">
        <v>637</v>
      </c>
      <c r="E222" s="2">
        <v>799</v>
      </c>
      <c r="F222" s="6">
        <v>47</v>
      </c>
      <c r="G222" s="2">
        <v>18</v>
      </c>
      <c r="H222" s="2">
        <v>2</v>
      </c>
      <c r="I222" s="1" t="s">
        <v>21</v>
      </c>
      <c r="J222" s="2">
        <f>Table1[[#This Row],[Price (PKR)]]*Table1[[#This Row],[Number Sold]]</f>
        <v>14382</v>
      </c>
    </row>
    <row r="223" spans="1:10" ht="29" x14ac:dyDescent="0.35">
      <c r="A223">
        <v>1422</v>
      </c>
      <c r="B223" s="1" t="s">
        <v>69</v>
      </c>
      <c r="C223" s="2" t="s">
        <v>638</v>
      </c>
      <c r="D223" s="1" t="s">
        <v>639</v>
      </c>
      <c r="E223" s="2">
        <v>1299</v>
      </c>
      <c r="F223" s="6">
        <v>57</v>
      </c>
      <c r="G223" s="2">
        <v>7</v>
      </c>
      <c r="H223" s="2">
        <v>82</v>
      </c>
      <c r="I223" s="1" t="s">
        <v>21</v>
      </c>
      <c r="J223" s="2">
        <f>Table1[[#This Row],[Price (PKR)]]*Table1[[#This Row],[Number Sold]]</f>
        <v>9093</v>
      </c>
    </row>
    <row r="224" spans="1:10" ht="43.5" x14ac:dyDescent="0.35">
      <c r="A224">
        <v>1423</v>
      </c>
      <c r="B224" s="1" t="s">
        <v>640</v>
      </c>
      <c r="C224" s="2" t="s">
        <v>641</v>
      </c>
      <c r="D224" s="1" t="s">
        <v>642</v>
      </c>
      <c r="E224" s="2">
        <v>1099</v>
      </c>
      <c r="F224" s="6">
        <v>45</v>
      </c>
      <c r="G224" s="2">
        <v>140</v>
      </c>
      <c r="H224" s="2">
        <v>51</v>
      </c>
      <c r="I224" s="1" t="s">
        <v>21</v>
      </c>
      <c r="J224" s="2">
        <f>Table1[[#This Row],[Price (PKR)]]*Table1[[#This Row],[Number Sold]]</f>
        <v>153860</v>
      </c>
    </row>
    <row r="225" spans="1:10" ht="72.5" x14ac:dyDescent="0.35">
      <c r="A225">
        <v>1424</v>
      </c>
      <c r="B225" s="1" t="s">
        <v>322</v>
      </c>
      <c r="C225" s="2" t="s">
        <v>643</v>
      </c>
      <c r="D225" s="1" t="s">
        <v>644</v>
      </c>
      <c r="E225" s="2">
        <v>1161</v>
      </c>
      <c r="F225" s="6">
        <v>3</v>
      </c>
      <c r="G225" s="2">
        <v>24</v>
      </c>
      <c r="H225" s="2">
        <v>10</v>
      </c>
      <c r="I225" s="1" t="s">
        <v>21</v>
      </c>
      <c r="J225" s="2">
        <f>Table1[[#This Row],[Price (PKR)]]*Table1[[#This Row],[Number Sold]]</f>
        <v>27864</v>
      </c>
    </row>
    <row r="226" spans="1:10" ht="29" x14ac:dyDescent="0.35">
      <c r="A226">
        <v>1425</v>
      </c>
      <c r="B226" s="1" t="s">
        <v>645</v>
      </c>
      <c r="C226" s="2" t="s">
        <v>646</v>
      </c>
      <c r="D226" s="1" t="s">
        <v>647</v>
      </c>
      <c r="E226" s="2">
        <v>939</v>
      </c>
      <c r="F226" s="6">
        <v>69</v>
      </c>
      <c r="G226" s="2">
        <v>107</v>
      </c>
      <c r="H226" s="2">
        <v>14</v>
      </c>
      <c r="I226" s="1" t="s">
        <v>21</v>
      </c>
      <c r="J226" s="2">
        <f>Table1[[#This Row],[Price (PKR)]]*Table1[[#This Row],[Number Sold]]</f>
        <v>100473</v>
      </c>
    </row>
    <row r="227" spans="1:10" ht="29" x14ac:dyDescent="0.35">
      <c r="A227">
        <v>1426</v>
      </c>
      <c r="B227" s="1" t="s">
        <v>648</v>
      </c>
      <c r="C227" s="2" t="s">
        <v>649</v>
      </c>
      <c r="D227" s="1" t="s">
        <v>650</v>
      </c>
      <c r="E227" s="2">
        <v>1498</v>
      </c>
      <c r="F227" s="6">
        <v>63</v>
      </c>
      <c r="G227" s="2">
        <v>8</v>
      </c>
      <c r="H227" s="2">
        <v>82</v>
      </c>
      <c r="I227" s="1" t="s">
        <v>21</v>
      </c>
      <c r="J227" s="2">
        <f>Table1[[#This Row],[Price (PKR)]]*Table1[[#This Row],[Number Sold]]</f>
        <v>11984</v>
      </c>
    </row>
    <row r="228" spans="1:10" ht="43.5" x14ac:dyDescent="0.35">
      <c r="A228">
        <v>1427</v>
      </c>
      <c r="B228" s="1" t="s">
        <v>651</v>
      </c>
      <c r="C228" s="2" t="s">
        <v>652</v>
      </c>
      <c r="D228" s="1" t="s">
        <v>653</v>
      </c>
      <c r="E228" s="2">
        <v>1299</v>
      </c>
      <c r="F228" s="6">
        <v>57</v>
      </c>
      <c r="G228" s="2">
        <v>63</v>
      </c>
      <c r="H228" s="2">
        <v>14</v>
      </c>
      <c r="I228" s="1" t="s">
        <v>21</v>
      </c>
      <c r="J228" s="2">
        <f>Table1[[#This Row],[Price (PKR)]]*Table1[[#This Row],[Number Sold]]</f>
        <v>81837</v>
      </c>
    </row>
    <row r="229" spans="1:10" ht="43.5" x14ac:dyDescent="0.35">
      <c r="A229">
        <v>1428</v>
      </c>
      <c r="B229" s="1" t="s">
        <v>324</v>
      </c>
      <c r="C229" s="2" t="s">
        <v>654</v>
      </c>
      <c r="D229" s="1" t="s">
        <v>655</v>
      </c>
      <c r="E229" s="2">
        <v>899</v>
      </c>
      <c r="F229" s="6">
        <v>64</v>
      </c>
      <c r="G229" s="2">
        <v>115</v>
      </c>
      <c r="H229" s="2">
        <v>16</v>
      </c>
      <c r="I229" s="1" t="s">
        <v>21</v>
      </c>
      <c r="J229" s="2">
        <f>Table1[[#This Row],[Price (PKR)]]*Table1[[#This Row],[Number Sold]]</f>
        <v>103385</v>
      </c>
    </row>
    <row r="230" spans="1:10" ht="29" x14ac:dyDescent="0.35">
      <c r="A230">
        <v>1429</v>
      </c>
      <c r="B230" s="1" t="s">
        <v>656</v>
      </c>
      <c r="C230" s="2" t="s">
        <v>657</v>
      </c>
      <c r="D230" s="1" t="s">
        <v>658</v>
      </c>
      <c r="E230" s="2">
        <v>1924</v>
      </c>
      <c r="F230" s="6">
        <v>43</v>
      </c>
      <c r="G230" s="2">
        <v>244</v>
      </c>
      <c r="H230" s="2">
        <v>61</v>
      </c>
      <c r="I230" s="1" t="s">
        <v>21</v>
      </c>
      <c r="J230" s="2">
        <f>Table1[[#This Row],[Price (PKR)]]*Table1[[#This Row],[Number Sold]]</f>
        <v>469456</v>
      </c>
    </row>
    <row r="231" spans="1:10" ht="29" x14ac:dyDescent="0.35">
      <c r="A231">
        <v>1430</v>
      </c>
      <c r="B231" s="1" t="s">
        <v>659</v>
      </c>
      <c r="C231" s="2" t="s">
        <v>660</v>
      </c>
      <c r="D231" s="1" t="s">
        <v>661</v>
      </c>
      <c r="E231" s="2">
        <v>876</v>
      </c>
      <c r="F231" s="6">
        <v>56</v>
      </c>
      <c r="G231" s="2">
        <v>3000</v>
      </c>
      <c r="H231" s="2">
        <v>641</v>
      </c>
      <c r="I231" s="1" t="s">
        <v>21</v>
      </c>
      <c r="J231" s="2">
        <f>Table1[[#This Row],[Price (PKR)]]*Table1[[#This Row],[Number Sold]]</f>
        <v>2628000</v>
      </c>
    </row>
    <row r="232" spans="1:10" ht="43.5" x14ac:dyDescent="0.35">
      <c r="A232">
        <v>1431</v>
      </c>
      <c r="B232" s="1" t="s">
        <v>339</v>
      </c>
      <c r="C232" s="2" t="s">
        <v>662</v>
      </c>
      <c r="D232" s="1" t="s">
        <v>663</v>
      </c>
      <c r="E232" s="2">
        <v>899</v>
      </c>
      <c r="F232" s="6">
        <v>55</v>
      </c>
      <c r="G232" s="2">
        <v>21</v>
      </c>
      <c r="H232" s="2">
        <v>2</v>
      </c>
      <c r="I232" s="1" t="s">
        <v>21</v>
      </c>
      <c r="J232" s="2">
        <f>Table1[[#This Row],[Price (PKR)]]*Table1[[#This Row],[Number Sold]]</f>
        <v>18879</v>
      </c>
    </row>
    <row r="233" spans="1:10" ht="43.5" x14ac:dyDescent="0.35">
      <c r="A233">
        <v>1432</v>
      </c>
      <c r="B233" s="1" t="s">
        <v>664</v>
      </c>
      <c r="C233" s="2" t="s">
        <v>665</v>
      </c>
      <c r="D233" s="1" t="s">
        <v>666</v>
      </c>
      <c r="E233" s="2">
        <v>1047</v>
      </c>
      <c r="F233" s="6">
        <v>48</v>
      </c>
      <c r="G233" s="2">
        <v>1100</v>
      </c>
      <c r="H233" s="2">
        <v>248</v>
      </c>
      <c r="I233" s="1" t="s">
        <v>11</v>
      </c>
      <c r="J233" s="2">
        <f>Table1[[#This Row],[Price (PKR)]]*Table1[[#This Row],[Number Sold]]</f>
        <v>1151700</v>
      </c>
    </row>
    <row r="234" spans="1:10" ht="58" x14ac:dyDescent="0.35">
      <c r="A234">
        <v>1433</v>
      </c>
      <c r="B234" s="1" t="s">
        <v>667</v>
      </c>
      <c r="C234" s="2" t="s">
        <v>668</v>
      </c>
      <c r="D234" s="1" t="s">
        <v>669</v>
      </c>
      <c r="E234" s="2">
        <v>1099</v>
      </c>
      <c r="F234" s="6">
        <v>45</v>
      </c>
      <c r="G234" s="2">
        <v>34</v>
      </c>
      <c r="H234" s="2">
        <v>5</v>
      </c>
      <c r="I234" s="1" t="s">
        <v>21</v>
      </c>
      <c r="J234" s="2">
        <f>Table1[[#This Row],[Price (PKR)]]*Table1[[#This Row],[Number Sold]]</f>
        <v>37366</v>
      </c>
    </row>
    <row r="235" spans="1:10" ht="58" x14ac:dyDescent="0.35">
      <c r="A235">
        <v>1434</v>
      </c>
      <c r="B235" s="1" t="s">
        <v>670</v>
      </c>
      <c r="C235" s="2" t="s">
        <v>671</v>
      </c>
      <c r="D235" s="1" t="s">
        <v>672</v>
      </c>
      <c r="E235" s="2">
        <v>1141</v>
      </c>
      <c r="F235" s="6">
        <v>43</v>
      </c>
      <c r="G235" s="2">
        <v>1900</v>
      </c>
      <c r="H235" s="2">
        <v>494</v>
      </c>
      <c r="I235" s="1" t="s">
        <v>21</v>
      </c>
      <c r="J235" s="2">
        <f>Table1[[#This Row],[Price (PKR)]]*Table1[[#This Row],[Number Sold]]</f>
        <v>2167900</v>
      </c>
    </row>
    <row r="236" spans="1:10" ht="29" x14ac:dyDescent="0.35">
      <c r="A236">
        <v>1435</v>
      </c>
      <c r="B236" s="1" t="s">
        <v>673</v>
      </c>
      <c r="C236" s="2" t="s">
        <v>674</v>
      </c>
      <c r="D236" s="1" t="s">
        <v>675</v>
      </c>
      <c r="E236" s="2">
        <v>789</v>
      </c>
      <c r="F236" s="6">
        <v>61</v>
      </c>
      <c r="G236" s="2">
        <v>859</v>
      </c>
      <c r="H236" s="2">
        <v>211</v>
      </c>
      <c r="I236" s="1" t="s">
        <v>21</v>
      </c>
      <c r="J236" s="2">
        <f>Table1[[#This Row],[Price (PKR)]]*Table1[[#This Row],[Number Sold]]</f>
        <v>677751</v>
      </c>
    </row>
    <row r="237" spans="1:10" ht="29" x14ac:dyDescent="0.35">
      <c r="A237">
        <v>1436</v>
      </c>
      <c r="B237" s="1" t="s">
        <v>676</v>
      </c>
      <c r="C237" s="2" t="s">
        <v>677</v>
      </c>
      <c r="D237" s="1" t="s">
        <v>678</v>
      </c>
      <c r="E237" s="2">
        <v>1838</v>
      </c>
      <c r="F237" s="6">
        <v>39</v>
      </c>
      <c r="G237" s="2">
        <v>7</v>
      </c>
      <c r="H237" s="2">
        <v>0</v>
      </c>
      <c r="I237" s="1" t="s">
        <v>21</v>
      </c>
      <c r="J237" s="2">
        <f>Table1[[#This Row],[Price (PKR)]]*Table1[[#This Row],[Number Sold]]</f>
        <v>12866</v>
      </c>
    </row>
    <row r="238" spans="1:10" ht="29" x14ac:dyDescent="0.35">
      <c r="A238">
        <v>1437</v>
      </c>
      <c r="B238" s="1" t="s">
        <v>679</v>
      </c>
      <c r="C238" s="2" t="s">
        <v>680</v>
      </c>
      <c r="D238" s="1" t="s">
        <v>681</v>
      </c>
      <c r="E238" s="2">
        <v>1499</v>
      </c>
      <c r="F238" s="6">
        <v>47</v>
      </c>
      <c r="G238" s="2">
        <v>85</v>
      </c>
      <c r="H238" s="2">
        <v>12</v>
      </c>
      <c r="I238" s="1" t="s">
        <v>21</v>
      </c>
      <c r="J238" s="2">
        <f>Table1[[#This Row],[Price (PKR)]]*Table1[[#This Row],[Number Sold]]</f>
        <v>127415</v>
      </c>
    </row>
    <row r="239" spans="1:10" ht="29" x14ac:dyDescent="0.35">
      <c r="A239">
        <v>1438</v>
      </c>
      <c r="B239" s="1" t="s">
        <v>682</v>
      </c>
      <c r="C239" s="2" t="s">
        <v>683</v>
      </c>
      <c r="D239" s="1" t="s">
        <v>684</v>
      </c>
      <c r="E239" s="2">
        <v>1999</v>
      </c>
      <c r="F239" s="6">
        <v>38</v>
      </c>
      <c r="G239" s="2">
        <v>451</v>
      </c>
      <c r="H239" s="2">
        <v>109</v>
      </c>
      <c r="I239" s="1" t="s">
        <v>21</v>
      </c>
      <c r="J239" s="2">
        <f>Table1[[#This Row],[Price (PKR)]]*Table1[[#This Row],[Number Sold]]</f>
        <v>901549</v>
      </c>
    </row>
    <row r="240" spans="1:10" ht="29" x14ac:dyDescent="0.35">
      <c r="A240">
        <v>1439</v>
      </c>
      <c r="B240" s="1" t="s">
        <v>685</v>
      </c>
      <c r="C240" s="2" t="s">
        <v>686</v>
      </c>
      <c r="D240" s="1" t="s">
        <v>687</v>
      </c>
      <c r="E240" s="2">
        <v>799</v>
      </c>
      <c r="F240" s="6">
        <v>38</v>
      </c>
      <c r="G240" s="2">
        <v>1400</v>
      </c>
      <c r="H240" s="2">
        <v>294</v>
      </c>
      <c r="I240" s="1" t="s">
        <v>21</v>
      </c>
      <c r="J240" s="2">
        <f>Table1[[#This Row],[Price (PKR)]]*Table1[[#This Row],[Number Sold]]</f>
        <v>1118600</v>
      </c>
    </row>
    <row r="241" spans="1:10" ht="43.5" x14ac:dyDescent="0.35">
      <c r="A241">
        <v>1440</v>
      </c>
      <c r="B241" s="1" t="s">
        <v>330</v>
      </c>
      <c r="C241" s="2" t="s">
        <v>688</v>
      </c>
      <c r="D241" s="1" t="s">
        <v>689</v>
      </c>
      <c r="E241" s="2">
        <v>1299</v>
      </c>
      <c r="F241" s="6">
        <v>48</v>
      </c>
      <c r="G241" s="2">
        <v>52</v>
      </c>
      <c r="H241" s="2">
        <v>12</v>
      </c>
      <c r="I241" s="1" t="s">
        <v>21</v>
      </c>
      <c r="J241" s="2">
        <f>Table1[[#This Row],[Price (PKR)]]*Table1[[#This Row],[Number Sold]]</f>
        <v>67548</v>
      </c>
    </row>
    <row r="242" spans="1:10" x14ac:dyDescent="0.35">
      <c r="A242">
        <v>1441</v>
      </c>
      <c r="B242" s="1"/>
      <c r="C242" s="2"/>
      <c r="D242" s="1"/>
      <c r="E242" s="2">
        <f>SUBTOTAL(101,Table1[Price (PKR)])</f>
        <v>1964.3125</v>
      </c>
      <c r="F242" s="6">
        <f>SUBTOTAL(101,Table1[Discount Percentage])</f>
        <v>46.916666666666664</v>
      </c>
      <c r="G242" s="2">
        <f>SUBTOTAL(101,Table1[Number Sold])</f>
        <v>606.04166666666663</v>
      </c>
      <c r="H242" s="2">
        <f>SUBTOTAL(101,Table1[Rating (Out of 5)])</f>
        <v>82.260083333333327</v>
      </c>
      <c r="I242" s="1">
        <f>SUBTOTAL(103,Table1[Location])</f>
        <v>240</v>
      </c>
      <c r="J242" s="2">
        <f>SUBTOTAL(109,Table1[Revenue])</f>
        <v>237292341</v>
      </c>
    </row>
  </sheetData>
  <mergeCells count="1">
    <mergeCell ref="M2:N3"/>
  </mergeCells>
  <pageMargins left="0.7" right="0.7" top="0.75" bottom="0.75" header="0.3" footer="0.3"/>
  <drawing r:id="rId1"/>
  <tableParts count="1">
    <tablePart r:id="rId2"/>
  </tableParts>
  <extLst>
    <ext xmlns:x14="http://schemas.microsoft.com/office/spreadsheetml/2009/9/main" uri="{05C60535-1F16-4fd2-B633-F4F36F0B64E0}">
      <x14:sparklineGroups xmlns:xm="http://schemas.microsoft.com/office/excel/2006/main">
        <x14:sparklineGroup displayEmptyCellsAs="gap" xr2:uid="{87364C55-9F3E-4541-A4E8-EF4FD2D425DD}">
          <x14:colorSeries rgb="FF376092"/>
          <x14:colorNegative rgb="FFD00000"/>
          <x14:colorAxis rgb="FF000000"/>
          <x14:colorMarkers rgb="FFD00000"/>
          <x14:colorFirst rgb="FFD00000"/>
          <x14:colorLast rgb="FFD00000"/>
          <x14:colorHigh rgb="FFD00000"/>
          <x14:colorLow rgb="FFD00000"/>
          <x14:sparklines>
            <x14:sparkline>
              <xm:f>'Product Listing Page'!J:J</xm:f>
              <xm:sqref>M7</xm:sqref>
            </x14:sparkline>
          </x14:sparklines>
        </x14:sparklineGroup>
        <x14:sparklineGroup displayEmptyCellsAs="gap" xr2:uid="{84E3A3E5-4D97-4B87-8BCA-FA33FCF812D4}">
          <x14:colorSeries theme="1"/>
          <x14:colorNegative rgb="FFD00000"/>
          <x14:colorAxis rgb="FF000000"/>
          <x14:colorMarkers rgb="FFD00000"/>
          <x14:colorFirst rgb="FFD00000"/>
          <x14:colorLast rgb="FFD00000"/>
          <x14:colorHigh rgb="FFD00000"/>
          <x14:colorLow rgb="FFD00000"/>
          <x14:sparklines>
            <x14:sparkline>
              <xm:f>'Product Listing Page'!J1:J242</xm:f>
              <xm:sqref>M2</xm:sqref>
            </x14:sparkline>
          </x14:sparklines>
        </x14:sparklineGroup>
        <x14:sparklineGroup displayEmptyCellsAs="gap" xr2:uid="{53F5D6EB-70A4-4D22-A396-0C3637D9C245}">
          <x14:colorSeries rgb="FF000000"/>
          <x14:colorNegative rgb="FF0070C0"/>
          <x14:colorAxis rgb="FF000000"/>
          <x14:colorMarkers rgb="FF0070C0"/>
          <x14:colorFirst rgb="FF0070C0"/>
          <x14:colorLast rgb="FF0070C0"/>
          <x14:colorHigh rgb="FF0070C0"/>
          <x14:colorLow rgb="FF0070C0"/>
          <x14:sparklines>
            <x14:sparkline>
              <xm:f>'Product Listing Page'!J:J</xm:f>
              <xm:sqref>M5</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14373-5603-4F91-A28D-DDFA4B1D0D23}">
  <dimension ref="B1:R52"/>
  <sheetViews>
    <sheetView showGridLines="0" tabSelected="1" topLeftCell="Q1" zoomScale="70" zoomScaleNormal="70" workbookViewId="0">
      <selection activeCell="Q18" sqref="Q18"/>
    </sheetView>
  </sheetViews>
  <sheetFormatPr defaultRowHeight="14.5" x14ac:dyDescent="0.35"/>
  <cols>
    <col min="2" max="2" width="18.36328125" customWidth="1"/>
    <col min="3" max="3" width="19.81640625" customWidth="1"/>
    <col min="4" max="4" width="7.90625" customWidth="1"/>
    <col min="5" max="5" width="18.1796875" customWidth="1"/>
    <col min="6" max="6" width="23.26953125" customWidth="1"/>
    <col min="8" max="8" width="18" customWidth="1"/>
    <col min="11" max="11" width="18.453125" customWidth="1"/>
    <col min="12" max="12" width="19.08984375" customWidth="1"/>
    <col min="14" max="14" width="12.08984375" customWidth="1"/>
    <col min="15" max="15" width="9.81640625" bestFit="1" customWidth="1"/>
    <col min="17" max="17" width="11.453125" customWidth="1"/>
  </cols>
  <sheetData>
    <row r="1" spans="2:18" ht="15.5" x14ac:dyDescent="0.35">
      <c r="B1" s="3" t="s">
        <v>7</v>
      </c>
      <c r="C1" s="3" t="s">
        <v>691</v>
      </c>
      <c r="E1" s="3" t="s">
        <v>7</v>
      </c>
      <c r="F1" s="3" t="s">
        <v>692</v>
      </c>
      <c r="H1" s="3" t="s">
        <v>7</v>
      </c>
      <c r="I1" s="3" t="s">
        <v>693</v>
      </c>
      <c r="K1" s="3" t="s">
        <v>7</v>
      </c>
      <c r="L1" s="3" t="s">
        <v>4</v>
      </c>
      <c r="N1" s="3" t="s">
        <v>690</v>
      </c>
      <c r="O1" s="3" t="s">
        <v>691</v>
      </c>
      <c r="Q1" s="3" t="s">
        <v>690</v>
      </c>
      <c r="R1" s="3" t="s">
        <v>691</v>
      </c>
    </row>
    <row r="2" spans="2:18" x14ac:dyDescent="0.35">
      <c r="B2" t="str" cm="1">
        <f t="array" ref="B2:B6">_xlfn.UNIQUE(Table1[Location])</f>
        <v>Sindh</v>
      </c>
      <c r="C2" s="4">
        <f>SUMIF(Table1[Location],B2,Table1[Revenue])</f>
        <v>70761459</v>
      </c>
      <c r="E2" t="str" cm="1">
        <f t="array" ref="E2:E6">_xlfn.UNIQUE(Table1[Location])</f>
        <v>Sindh</v>
      </c>
      <c r="F2">
        <f>SUMIF(Table1[Location],E2,Table1[Number Sold])</f>
        <v>20922</v>
      </c>
      <c r="H2" t="str" cm="1">
        <f t="array" ref="H2:H6">_xlfn.UNIQUE(Table1[Location])</f>
        <v>Sindh</v>
      </c>
      <c r="I2">
        <f>SUMIF(Table1[Location],H2,Table1[Rating (Out of 5)])</f>
        <v>3342.6</v>
      </c>
      <c r="K2" t="str" cm="1">
        <f t="array" ref="K2:K6">_xlfn.UNIQUE(Table1[Location])</f>
        <v>Sindh</v>
      </c>
      <c r="L2" s="5">
        <v>4.1740674955594997E-3</v>
      </c>
      <c r="N2" s="2">
        <v>1201</v>
      </c>
      <c r="O2">
        <v>1618200</v>
      </c>
      <c r="Q2" s="2">
        <v>1203</v>
      </c>
      <c r="R2">
        <v>23702</v>
      </c>
    </row>
    <row r="3" spans="2:18" x14ac:dyDescent="0.35">
      <c r="B3" t="str">
        <v>Punjab</v>
      </c>
      <c r="C3" s="4">
        <f>SUMIF(Table1[Location],B3,Table1[Revenue])</f>
        <v>149034168</v>
      </c>
      <c r="E3" t="str">
        <v>Punjab</v>
      </c>
      <c r="F3">
        <f>SUMIF(Table1[Location],E3,Table1[Number Sold])</f>
        <v>117616</v>
      </c>
      <c r="H3" t="str">
        <v>Punjab</v>
      </c>
      <c r="I3">
        <f>SUMIF(Table1[Location],H3,Table1[Rating (Out of 5)])</f>
        <v>15280.32</v>
      </c>
      <c r="K3" t="str">
        <v>Punjab</v>
      </c>
      <c r="L3" s="5">
        <v>9.9467140319715805E-3</v>
      </c>
      <c r="N3" s="2">
        <v>1209</v>
      </c>
      <c r="O3">
        <v>4072200</v>
      </c>
      <c r="Q3" s="2">
        <v>1204</v>
      </c>
      <c r="R3">
        <v>10072</v>
      </c>
    </row>
    <row r="4" spans="2:18" x14ac:dyDescent="0.35">
      <c r="B4" t="str">
        <v>Khyber Pakhtunkhwa</v>
      </c>
      <c r="C4" s="4">
        <f>SUMIF(Table1[Location],B4,Table1[Revenue])</f>
        <v>10175683</v>
      </c>
      <c r="E4" t="str">
        <v>Khyber Pakhtunkhwa</v>
      </c>
      <c r="F4">
        <f>SUMIF(Table1[Location],E4,Table1[Number Sold])</f>
        <v>5536</v>
      </c>
      <c r="H4" t="str">
        <v>Khyber Pakhtunkhwa</v>
      </c>
      <c r="I4">
        <f>SUMIF(Table1[Location],H4,Table1[Rating (Out of 5)])</f>
        <v>791.5</v>
      </c>
      <c r="K4" t="str">
        <v>Khyber Pakhtunkhwa</v>
      </c>
      <c r="L4" s="5">
        <v>2.6731793960923622E-2</v>
      </c>
      <c r="N4" s="2">
        <v>1211</v>
      </c>
      <c r="O4">
        <v>4843000</v>
      </c>
      <c r="Q4" s="2">
        <v>1205</v>
      </c>
      <c r="R4">
        <v>19340</v>
      </c>
    </row>
    <row r="5" spans="2:18" x14ac:dyDescent="0.35">
      <c r="B5" t="str">
        <v>Islamabad</v>
      </c>
      <c r="C5" s="4">
        <f>SUMIF(Table1[Location],B5,Table1[Revenue])</f>
        <v>2769138</v>
      </c>
      <c r="E5" t="str">
        <v>Islamabad</v>
      </c>
      <c r="F5">
        <f>SUMIF(Table1[Location],E5,Table1[Number Sold])</f>
        <v>769</v>
      </c>
      <c r="H5" t="str">
        <v>Islamabad</v>
      </c>
      <c r="I5">
        <f>SUMIF(Table1[Location],H5,Table1[Rating (Out of 5)])</f>
        <v>246</v>
      </c>
      <c r="K5" t="str">
        <v>Islamabad</v>
      </c>
      <c r="L5" s="5">
        <v>0.77300177619893429</v>
      </c>
      <c r="N5" s="2">
        <v>1215</v>
      </c>
      <c r="O5">
        <v>1558800</v>
      </c>
      <c r="Q5" s="2">
        <v>1206</v>
      </c>
      <c r="R5">
        <v>15587</v>
      </c>
    </row>
    <row r="6" spans="2:18" x14ac:dyDescent="0.35">
      <c r="B6" t="str">
        <v>Azad Kashmir</v>
      </c>
      <c r="C6" s="4">
        <f>SUMIF(Table1[Location],B6,Table1[Revenue])</f>
        <v>4551893</v>
      </c>
      <c r="E6" t="str">
        <v>Azad Kashmir</v>
      </c>
      <c r="F6">
        <f>SUMIF(Table1[Location],E6,Table1[Number Sold])</f>
        <v>607</v>
      </c>
      <c r="H6" t="str">
        <v>Azad Kashmir</v>
      </c>
      <c r="I6">
        <f>SUMIF(Table1[Location],H6,Table1[Rating (Out of 5)])</f>
        <v>82</v>
      </c>
      <c r="K6" t="str">
        <v>Azad Kashmir</v>
      </c>
      <c r="L6" s="5">
        <v>0.18614564831261102</v>
      </c>
      <c r="N6" s="2">
        <v>1216</v>
      </c>
      <c r="O6">
        <v>2078400</v>
      </c>
      <c r="Q6" s="2">
        <v>1213</v>
      </c>
      <c r="R6">
        <v>6966</v>
      </c>
    </row>
    <row r="7" spans="2:18" x14ac:dyDescent="0.35">
      <c r="N7" s="2">
        <v>1223</v>
      </c>
      <c r="O7">
        <v>1538600</v>
      </c>
      <c r="Q7" s="2">
        <v>1220</v>
      </c>
      <c r="R7">
        <v>31176</v>
      </c>
    </row>
    <row r="8" spans="2:18" x14ac:dyDescent="0.35">
      <c r="N8" s="2">
        <v>1225</v>
      </c>
      <c r="O8">
        <v>12917200</v>
      </c>
      <c r="Q8" s="2">
        <v>1227</v>
      </c>
      <c r="R8">
        <v>10392</v>
      </c>
    </row>
    <row r="9" spans="2:18" ht="15.5" x14ac:dyDescent="0.35">
      <c r="B9" s="13" t="s">
        <v>690</v>
      </c>
      <c r="C9" s="13" t="s">
        <v>692</v>
      </c>
      <c r="E9" s="14" t="s">
        <v>690</v>
      </c>
      <c r="F9" s="14" t="s">
        <v>692</v>
      </c>
      <c r="H9" s="14" t="s">
        <v>690</v>
      </c>
      <c r="I9" s="14" t="s">
        <v>696</v>
      </c>
      <c r="K9" s="14" t="s">
        <v>690</v>
      </c>
      <c r="L9" s="14" t="s">
        <v>696</v>
      </c>
      <c r="N9" s="2">
        <v>1232</v>
      </c>
      <c r="O9">
        <v>3648700</v>
      </c>
      <c r="Q9" s="2">
        <v>1234</v>
      </c>
      <c r="R9">
        <v>14289</v>
      </c>
    </row>
    <row r="10" spans="2:18" x14ac:dyDescent="0.35">
      <c r="B10" s="2">
        <v>1209</v>
      </c>
      <c r="C10">
        <v>3300</v>
      </c>
      <c r="E10" s="2">
        <v>1213</v>
      </c>
      <c r="F10">
        <v>6</v>
      </c>
      <c r="H10" s="2">
        <v>1253</v>
      </c>
      <c r="I10">
        <v>353</v>
      </c>
      <c r="K10" s="2">
        <v>1234</v>
      </c>
      <c r="L10">
        <v>1</v>
      </c>
      <c r="N10" s="2">
        <v>1233</v>
      </c>
      <c r="O10">
        <v>5070000</v>
      </c>
      <c r="Q10" s="2">
        <v>1237</v>
      </c>
      <c r="R10">
        <v>32475</v>
      </c>
    </row>
    <row r="11" spans="2:18" x14ac:dyDescent="0.35">
      <c r="B11" s="2">
        <v>1211</v>
      </c>
      <c r="C11">
        <v>5800</v>
      </c>
      <c r="E11" s="2">
        <v>1246</v>
      </c>
      <c r="F11">
        <v>5</v>
      </c>
      <c r="H11" s="2">
        <v>1254</v>
      </c>
      <c r="I11">
        <v>321</v>
      </c>
      <c r="K11" s="2">
        <v>1237</v>
      </c>
      <c r="L11">
        <v>1</v>
      </c>
      <c r="N11" s="2">
        <v>1242</v>
      </c>
      <c r="O11">
        <v>4290000</v>
      </c>
      <c r="Q11" s="2">
        <v>1238</v>
      </c>
      <c r="R11">
        <v>8183</v>
      </c>
    </row>
    <row r="12" spans="2:18" x14ac:dyDescent="0.35">
      <c r="B12" s="2">
        <v>1225</v>
      </c>
      <c r="C12">
        <v>17200</v>
      </c>
      <c r="E12" s="2">
        <v>1286</v>
      </c>
      <c r="F12">
        <v>6</v>
      </c>
      <c r="H12" s="2">
        <v>1258</v>
      </c>
      <c r="I12">
        <v>686</v>
      </c>
      <c r="K12" s="2">
        <v>1241</v>
      </c>
      <c r="L12">
        <v>1</v>
      </c>
      <c r="N12" s="2">
        <v>1243</v>
      </c>
      <c r="O12">
        <v>2111146</v>
      </c>
      <c r="Q12" s="2">
        <v>1239</v>
      </c>
      <c r="R12">
        <v>29904</v>
      </c>
    </row>
    <row r="13" spans="2:18" x14ac:dyDescent="0.35">
      <c r="B13" s="2">
        <v>1232</v>
      </c>
      <c r="C13">
        <v>3100</v>
      </c>
      <c r="E13" s="2">
        <v>1291</v>
      </c>
      <c r="F13">
        <v>6</v>
      </c>
      <c r="H13" s="2">
        <v>1259</v>
      </c>
      <c r="I13">
        <v>725</v>
      </c>
      <c r="K13" s="2">
        <v>1261</v>
      </c>
      <c r="L13">
        <v>0</v>
      </c>
      <c r="N13" s="2">
        <v>1245</v>
      </c>
      <c r="O13">
        <v>4248393</v>
      </c>
      <c r="Q13" s="2">
        <v>1246</v>
      </c>
      <c r="R13">
        <v>16930</v>
      </c>
    </row>
    <row r="14" spans="2:18" x14ac:dyDescent="0.35">
      <c r="B14" s="2">
        <v>1233</v>
      </c>
      <c r="C14">
        <v>6000</v>
      </c>
      <c r="E14" s="2">
        <v>1308</v>
      </c>
      <c r="F14">
        <v>5</v>
      </c>
      <c r="H14" s="2">
        <v>1273</v>
      </c>
      <c r="I14">
        <v>527</v>
      </c>
      <c r="K14" s="2">
        <v>1404</v>
      </c>
      <c r="L14">
        <v>1</v>
      </c>
      <c r="N14" s="2">
        <v>1248</v>
      </c>
      <c r="O14">
        <v>3526670</v>
      </c>
      <c r="Q14" s="2">
        <v>1247</v>
      </c>
      <c r="R14">
        <v>23984</v>
      </c>
    </row>
    <row r="15" spans="2:18" x14ac:dyDescent="0.35">
      <c r="B15" s="2">
        <v>1259</v>
      </c>
      <c r="C15">
        <v>3400</v>
      </c>
      <c r="E15" s="2">
        <v>1314</v>
      </c>
      <c r="F15">
        <v>6</v>
      </c>
      <c r="H15" s="2">
        <v>1415</v>
      </c>
      <c r="I15">
        <v>628</v>
      </c>
      <c r="K15" s="2">
        <v>1406</v>
      </c>
      <c r="L15">
        <v>1</v>
      </c>
      <c r="N15" s="2">
        <v>1258</v>
      </c>
      <c r="O15">
        <v>2317100</v>
      </c>
      <c r="Q15" s="2">
        <v>1249</v>
      </c>
      <c r="R15">
        <v>22470</v>
      </c>
    </row>
    <row r="16" spans="2:18" x14ac:dyDescent="0.35">
      <c r="B16" s="2">
        <v>1273</v>
      </c>
      <c r="C16">
        <v>3000</v>
      </c>
      <c r="E16" s="2">
        <v>1326</v>
      </c>
      <c r="F16">
        <v>5</v>
      </c>
      <c r="H16" s="2">
        <v>1430</v>
      </c>
      <c r="I16">
        <v>641</v>
      </c>
      <c r="K16" s="2">
        <v>1410</v>
      </c>
      <c r="L16">
        <v>1</v>
      </c>
      <c r="N16" s="2">
        <v>1259</v>
      </c>
      <c r="O16">
        <v>2546600</v>
      </c>
      <c r="Q16" s="2">
        <v>1251</v>
      </c>
      <c r="R16">
        <v>12586</v>
      </c>
    </row>
    <row r="17" spans="2:18" x14ac:dyDescent="0.35">
      <c r="B17" s="2">
        <v>1376</v>
      </c>
      <c r="C17">
        <v>6300</v>
      </c>
      <c r="E17" s="2">
        <v>1334</v>
      </c>
      <c r="F17">
        <v>5</v>
      </c>
      <c r="H17" s="2">
        <v>1432</v>
      </c>
      <c r="I17">
        <v>248</v>
      </c>
      <c r="K17" s="2">
        <v>1411</v>
      </c>
      <c r="L17">
        <v>1</v>
      </c>
      <c r="N17" s="2">
        <v>1262</v>
      </c>
      <c r="O17">
        <v>6373500</v>
      </c>
      <c r="Q17" s="2">
        <v>1261</v>
      </c>
      <c r="R17">
        <v>7490</v>
      </c>
    </row>
    <row r="18" spans="2:18" x14ac:dyDescent="0.35">
      <c r="B18" s="2">
        <v>1415</v>
      </c>
      <c r="C18">
        <v>3700</v>
      </c>
      <c r="E18" s="2">
        <v>1340</v>
      </c>
      <c r="F18">
        <v>5</v>
      </c>
      <c r="H18" s="2">
        <v>1434</v>
      </c>
      <c r="I18">
        <v>494</v>
      </c>
      <c r="K18" s="2">
        <v>1436</v>
      </c>
      <c r="L18">
        <v>0</v>
      </c>
      <c r="N18" s="2">
        <v>1263</v>
      </c>
      <c r="O18">
        <v>3338500</v>
      </c>
      <c r="Q18" s="2">
        <v>1264</v>
      </c>
      <c r="R18">
        <v>16983</v>
      </c>
    </row>
    <row r="19" spans="2:18" x14ac:dyDescent="0.35">
      <c r="B19" s="12">
        <v>1430</v>
      </c>
      <c r="C19">
        <v>3000</v>
      </c>
      <c r="E19" s="2">
        <v>1362</v>
      </c>
      <c r="F19">
        <v>5</v>
      </c>
      <c r="H19" s="2">
        <v>1439</v>
      </c>
      <c r="I19">
        <v>294</v>
      </c>
      <c r="K19" s="2">
        <v>1441</v>
      </c>
      <c r="L19">
        <v>0</v>
      </c>
      <c r="N19" s="2">
        <v>1269</v>
      </c>
      <c r="O19">
        <v>2276250</v>
      </c>
      <c r="Q19" s="2">
        <v>1274</v>
      </c>
      <c r="R19">
        <v>13932</v>
      </c>
    </row>
    <row r="20" spans="2:18" x14ac:dyDescent="0.35">
      <c r="B20" s="8"/>
      <c r="C20" s="9"/>
      <c r="E20" s="2">
        <v>1371</v>
      </c>
      <c r="F20">
        <v>5</v>
      </c>
      <c r="H20" s="8"/>
      <c r="I20" s="9"/>
      <c r="K20" s="8"/>
      <c r="L20" s="9"/>
      <c r="N20" s="2">
        <v>1270</v>
      </c>
      <c r="O20">
        <v>2002493</v>
      </c>
      <c r="Q20" s="2">
        <v>1281</v>
      </c>
      <c r="R20">
        <v>16269</v>
      </c>
    </row>
    <row r="21" spans="2:18" x14ac:dyDescent="0.35">
      <c r="N21" s="2">
        <v>1280</v>
      </c>
      <c r="O21">
        <v>1972143</v>
      </c>
      <c r="Q21" s="2">
        <v>1285</v>
      </c>
      <c r="R21">
        <v>17424</v>
      </c>
    </row>
    <row r="22" spans="2:18" x14ac:dyDescent="0.35">
      <c r="N22" s="2">
        <v>1282</v>
      </c>
      <c r="O22">
        <v>3459293</v>
      </c>
      <c r="Q22" s="2">
        <v>1286</v>
      </c>
      <c r="R22">
        <v>8988</v>
      </c>
    </row>
    <row r="23" spans="2:18" x14ac:dyDescent="0.35">
      <c r="N23" s="2">
        <v>1287</v>
      </c>
      <c r="O23">
        <v>3944893</v>
      </c>
      <c r="Q23" s="2">
        <v>1291</v>
      </c>
      <c r="R23">
        <v>17412</v>
      </c>
    </row>
    <row r="24" spans="2:18" x14ac:dyDescent="0.35">
      <c r="N24" s="2">
        <v>1288</v>
      </c>
      <c r="O24">
        <v>1577800</v>
      </c>
      <c r="Q24" s="2">
        <v>1297</v>
      </c>
      <c r="R24">
        <v>28434</v>
      </c>
    </row>
    <row r="25" spans="2:18" x14ac:dyDescent="0.35">
      <c r="N25" s="2">
        <v>1312</v>
      </c>
      <c r="O25">
        <v>1960200</v>
      </c>
      <c r="Q25" s="2">
        <v>1298</v>
      </c>
      <c r="R25">
        <v>23382</v>
      </c>
    </row>
    <row r="26" spans="2:18" x14ac:dyDescent="0.35">
      <c r="N26" s="2">
        <v>1315</v>
      </c>
      <c r="O26">
        <v>2549400</v>
      </c>
      <c r="Q26" s="2">
        <v>1304</v>
      </c>
      <c r="R26">
        <v>12586</v>
      </c>
    </row>
    <row r="27" spans="2:18" x14ac:dyDescent="0.35">
      <c r="N27" s="2">
        <v>1316</v>
      </c>
      <c r="O27">
        <v>2100600</v>
      </c>
      <c r="Q27" s="2">
        <v>1308</v>
      </c>
      <c r="R27">
        <v>5750</v>
      </c>
    </row>
    <row r="28" spans="2:18" x14ac:dyDescent="0.35">
      <c r="N28" s="2">
        <v>1319</v>
      </c>
      <c r="O28">
        <v>1517500</v>
      </c>
      <c r="Q28" s="2">
        <v>1309</v>
      </c>
      <c r="R28">
        <v>27279</v>
      </c>
    </row>
    <row r="29" spans="2:18" x14ac:dyDescent="0.35">
      <c r="N29" s="2">
        <v>1331</v>
      </c>
      <c r="O29">
        <v>4551893</v>
      </c>
      <c r="Q29" s="2">
        <v>1314</v>
      </c>
      <c r="R29">
        <v>7794</v>
      </c>
    </row>
    <row r="30" spans="2:18" x14ac:dyDescent="0.35">
      <c r="N30" s="2">
        <v>1335</v>
      </c>
      <c r="O30">
        <v>3459293</v>
      </c>
      <c r="Q30" s="2">
        <v>1326</v>
      </c>
      <c r="R30">
        <v>7740</v>
      </c>
    </row>
    <row r="31" spans="2:18" x14ac:dyDescent="0.35">
      <c r="N31" s="2">
        <v>1351</v>
      </c>
      <c r="O31">
        <v>3944893</v>
      </c>
      <c r="Q31" s="2">
        <v>1329</v>
      </c>
      <c r="R31">
        <v>23220</v>
      </c>
    </row>
    <row r="32" spans="2:18" x14ac:dyDescent="0.35">
      <c r="N32" s="2">
        <v>1356</v>
      </c>
      <c r="O32">
        <v>1997030</v>
      </c>
      <c r="Q32" s="2">
        <v>1332</v>
      </c>
      <c r="R32">
        <v>28574</v>
      </c>
    </row>
    <row r="33" spans="14:18" x14ac:dyDescent="0.35">
      <c r="N33" s="2">
        <v>1364</v>
      </c>
      <c r="O33">
        <v>4856000</v>
      </c>
      <c r="Q33" s="2">
        <v>1334</v>
      </c>
      <c r="R33">
        <v>17500</v>
      </c>
    </row>
    <row r="34" spans="14:18" x14ac:dyDescent="0.35">
      <c r="N34" s="2">
        <v>1366</v>
      </c>
      <c r="O34">
        <v>2852900</v>
      </c>
      <c r="Q34" s="2">
        <v>1340</v>
      </c>
      <c r="R34">
        <v>6495</v>
      </c>
    </row>
    <row r="35" spans="14:18" x14ac:dyDescent="0.35">
      <c r="N35" s="2">
        <v>1367</v>
      </c>
      <c r="O35">
        <v>4552500</v>
      </c>
      <c r="Q35" s="2">
        <v>1343</v>
      </c>
      <c r="R35">
        <v>27475</v>
      </c>
    </row>
    <row r="36" spans="14:18" x14ac:dyDescent="0.35">
      <c r="N36" s="2">
        <v>1373</v>
      </c>
      <c r="O36">
        <v>2124500</v>
      </c>
      <c r="Q36" s="2">
        <v>1355</v>
      </c>
      <c r="R36">
        <v>20784</v>
      </c>
    </row>
    <row r="37" spans="14:18" x14ac:dyDescent="0.35">
      <c r="N37" s="2">
        <v>1376</v>
      </c>
      <c r="O37">
        <v>9172800</v>
      </c>
      <c r="Q37" s="2">
        <v>1360</v>
      </c>
      <c r="R37">
        <v>17578</v>
      </c>
    </row>
    <row r="38" spans="14:18" x14ac:dyDescent="0.35">
      <c r="N38" s="2">
        <v>1379</v>
      </c>
      <c r="O38">
        <v>2428000</v>
      </c>
      <c r="Q38" s="2">
        <v>1365</v>
      </c>
      <c r="R38">
        <v>17024</v>
      </c>
    </row>
    <row r="39" spans="14:18" x14ac:dyDescent="0.35">
      <c r="N39" s="2">
        <v>1380</v>
      </c>
      <c r="O39">
        <v>4855393</v>
      </c>
      <c r="Q39" s="2">
        <v>1370</v>
      </c>
      <c r="R39">
        <v>13188</v>
      </c>
    </row>
    <row r="40" spans="14:18" x14ac:dyDescent="0.35">
      <c r="N40" s="2">
        <v>1381</v>
      </c>
      <c r="O40">
        <v>3945500</v>
      </c>
      <c r="Q40" s="2">
        <v>1371</v>
      </c>
      <c r="R40">
        <v>11995</v>
      </c>
    </row>
    <row r="41" spans="14:18" x14ac:dyDescent="0.35">
      <c r="N41" s="2">
        <v>1386</v>
      </c>
      <c r="O41">
        <v>1558800</v>
      </c>
      <c r="Q41" s="2">
        <v>1383</v>
      </c>
      <c r="R41">
        <v>12141</v>
      </c>
    </row>
    <row r="42" spans="14:18" x14ac:dyDescent="0.35">
      <c r="N42" s="2">
        <v>1392</v>
      </c>
      <c r="O42">
        <v>2428000</v>
      </c>
      <c r="Q42" s="2">
        <v>1395</v>
      </c>
      <c r="R42">
        <v>12990</v>
      </c>
    </row>
    <row r="43" spans="14:18" x14ac:dyDescent="0.35">
      <c r="N43" s="2">
        <v>1400</v>
      </c>
      <c r="O43">
        <v>1821000</v>
      </c>
      <c r="Q43" s="2">
        <v>1403</v>
      </c>
      <c r="R43">
        <v>24591</v>
      </c>
    </row>
    <row r="44" spans="14:18" x14ac:dyDescent="0.35">
      <c r="N44" s="2">
        <v>1404</v>
      </c>
      <c r="O44">
        <v>4066900</v>
      </c>
      <c r="Q44" s="2">
        <v>1407</v>
      </c>
      <c r="R44">
        <v>11687</v>
      </c>
    </row>
    <row r="45" spans="14:18" x14ac:dyDescent="0.35">
      <c r="N45" s="2">
        <v>1410</v>
      </c>
      <c r="O45">
        <v>1577593</v>
      </c>
      <c r="Q45" s="2">
        <v>1421</v>
      </c>
      <c r="R45">
        <v>14382</v>
      </c>
    </row>
    <row r="46" spans="14:18" x14ac:dyDescent="0.35">
      <c r="N46" s="2">
        <v>1411</v>
      </c>
      <c r="O46">
        <v>2730893</v>
      </c>
      <c r="Q46" s="2">
        <v>1422</v>
      </c>
      <c r="R46">
        <v>9093</v>
      </c>
    </row>
    <row r="47" spans="14:18" x14ac:dyDescent="0.35">
      <c r="N47" s="2">
        <v>1412</v>
      </c>
      <c r="O47">
        <v>4551893</v>
      </c>
      <c r="Q47" s="2">
        <v>1424</v>
      </c>
      <c r="R47">
        <v>27864</v>
      </c>
    </row>
    <row r="48" spans="14:18" x14ac:dyDescent="0.35">
      <c r="N48" s="2">
        <v>1413</v>
      </c>
      <c r="O48">
        <v>4856000</v>
      </c>
      <c r="Q48" s="2">
        <v>1426</v>
      </c>
      <c r="R48">
        <v>11984</v>
      </c>
    </row>
    <row r="49" spans="14:18" x14ac:dyDescent="0.35">
      <c r="N49" s="2">
        <v>1415</v>
      </c>
      <c r="O49">
        <v>2612200</v>
      </c>
      <c r="Q49" s="2">
        <v>1431</v>
      </c>
      <c r="R49">
        <v>18879</v>
      </c>
    </row>
    <row r="50" spans="14:18" x14ac:dyDescent="0.35">
      <c r="N50" s="2">
        <v>1430</v>
      </c>
      <c r="O50">
        <v>2628000</v>
      </c>
      <c r="Q50" s="2">
        <v>1436</v>
      </c>
      <c r="R50">
        <v>12866</v>
      </c>
    </row>
    <row r="51" spans="14:18" x14ac:dyDescent="0.35">
      <c r="N51" s="2">
        <v>1434</v>
      </c>
      <c r="O51">
        <v>2167900</v>
      </c>
      <c r="Q51" s="10" t="s">
        <v>695</v>
      </c>
      <c r="R51" s="11">
        <f>SUM(R2:R50)</f>
        <v>829829</v>
      </c>
    </row>
    <row r="52" spans="14:18" x14ac:dyDescent="0.35">
      <c r="N52" s="11" t="s">
        <v>694</v>
      </c>
      <c r="O52" s="11">
        <f>SUM(O2:O51)</f>
        <v>169197462</v>
      </c>
      <c r="Q52" s="8"/>
      <c r="R52" s="9"/>
    </row>
  </sheetData>
  <conditionalFormatting sqref="C2:C6">
    <cfRule type="colorScale" priority="10">
      <colorScale>
        <cfvo type="min"/>
        <cfvo type="max"/>
        <color rgb="FFFFEF9C"/>
        <color rgb="FF63BE7B"/>
      </colorScale>
    </cfRule>
  </conditionalFormatting>
  <conditionalFormatting sqref="C10:C19">
    <cfRule type="colorScale" priority="4">
      <colorScale>
        <cfvo type="min"/>
        <cfvo type="percentile" val="50"/>
        <cfvo type="max"/>
        <color rgb="FFF8696B"/>
        <color rgb="FFFFEB84"/>
        <color rgb="FF63BE7B"/>
      </colorScale>
    </cfRule>
  </conditionalFormatting>
  <conditionalFormatting sqref="F2:F6">
    <cfRule type="colorScale" priority="9">
      <colorScale>
        <cfvo type="min"/>
        <cfvo type="max"/>
        <color rgb="FFFFEF9C"/>
        <color rgb="FF63BE7B"/>
      </colorScale>
    </cfRule>
  </conditionalFormatting>
  <conditionalFormatting sqref="F10:F20">
    <cfRule type="colorScale" priority="3">
      <colorScale>
        <cfvo type="min"/>
        <cfvo type="percentile" val="50"/>
        <cfvo type="max"/>
        <color rgb="FFF8696B"/>
        <color rgb="FFFFEB84"/>
        <color rgb="FF63BE7B"/>
      </colorScale>
    </cfRule>
  </conditionalFormatting>
  <conditionalFormatting sqref="I2:I6">
    <cfRule type="colorScale" priority="8">
      <colorScale>
        <cfvo type="min"/>
        <cfvo type="percentile" val="50"/>
        <cfvo type="max"/>
        <color rgb="FFF8696B"/>
        <color rgb="FFFFEB84"/>
        <color rgb="FF63BE7B"/>
      </colorScale>
    </cfRule>
  </conditionalFormatting>
  <conditionalFormatting sqref="I10:I19">
    <cfRule type="colorScale" priority="2">
      <colorScale>
        <cfvo type="min"/>
        <cfvo type="percentile" val="50"/>
        <cfvo type="max"/>
        <color rgb="FFF8696B"/>
        <color rgb="FFFFEB84"/>
        <color rgb="FF63BE7B"/>
      </colorScale>
    </cfRule>
  </conditionalFormatting>
  <conditionalFormatting sqref="L2:L6">
    <cfRule type="colorScale" priority="7">
      <colorScale>
        <cfvo type="min"/>
        <cfvo type="percentile" val="50"/>
        <cfvo type="max"/>
        <color rgb="FFF8696B"/>
        <color rgb="FFFFEB84"/>
        <color rgb="FF63BE7B"/>
      </colorScale>
    </cfRule>
  </conditionalFormatting>
  <conditionalFormatting sqref="L10:L19">
    <cfRule type="colorScale" priority="1">
      <colorScale>
        <cfvo type="min"/>
        <cfvo type="percentile" val="50"/>
        <cfvo type="max"/>
        <color rgb="FFF8696B"/>
        <color rgb="FFFFEB84"/>
        <color rgb="FF63BE7B"/>
      </colorScale>
    </cfRule>
  </conditionalFormatting>
  <conditionalFormatting sqref="O2:O51">
    <cfRule type="colorScale" priority="6">
      <colorScale>
        <cfvo type="min"/>
        <cfvo type="percentile" val="50"/>
        <cfvo type="max"/>
        <color rgb="FFF8696B"/>
        <color rgb="FFFFEB84"/>
        <color rgb="FF63BE7B"/>
      </colorScale>
    </cfRule>
  </conditionalFormatting>
  <conditionalFormatting sqref="R2:R50">
    <cfRule type="colorScale" priority="5">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05C60535-1F16-4fd2-B633-F4F36F0B64E0}">
      <x14:sparklineGroups xmlns:xm="http://schemas.microsoft.com/office/excel/2006/main">
        <x14:sparklineGroup displayEmptyCellsAs="gap" xr2:uid="{3AC87861-6283-4848-A92C-5E3D35CA470F}">
          <x14:colorSeries rgb="FF000000"/>
          <x14:colorNegative rgb="FF0070C0"/>
          <x14:colorAxis rgb="FF000000"/>
          <x14:colorMarkers rgb="FF0070C0"/>
          <x14:colorFirst rgb="FF0070C0"/>
          <x14:colorLast rgb="FF0070C0"/>
          <x14:colorHigh rgb="FF0070C0"/>
          <x14:colorLow rgb="FF0070C0"/>
          <x14:sparklines>
            <x14:sparkline>
              <xm:f>'Analysis page'!C2:C6</xm:f>
              <xm:sqref>T33</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2DA04-5D1E-4542-A53E-9007EC3D6FAD}">
  <dimension ref="F1:R4"/>
  <sheetViews>
    <sheetView showGridLines="0" zoomScale="50" zoomScaleNormal="50" workbookViewId="0">
      <selection activeCell="AE1" sqref="AE1"/>
    </sheetView>
  </sheetViews>
  <sheetFormatPr defaultRowHeight="14.5" x14ac:dyDescent="0.35"/>
  <cols>
    <col min="6" max="6" width="25.6328125" customWidth="1"/>
    <col min="18" max="18" width="11" customWidth="1"/>
  </cols>
  <sheetData>
    <row r="1" spans="6:18" ht="9.5" customHeight="1" x14ac:dyDescent="0.35">
      <c r="F1" s="20">
        <f>SUM(Table1[Revenue])</f>
        <v>237292341</v>
      </c>
      <c r="H1" s="21">
        <f>SUM(Table1[Number Sold])</f>
        <v>145450</v>
      </c>
      <c r="I1" s="21"/>
      <c r="K1" s="22">
        <f>SUM(Table1[Rating (Out of 5)])</f>
        <v>19742.419999999998</v>
      </c>
      <c r="L1" s="22"/>
      <c r="N1" s="23">
        <f>SUBTOTAL(1,Table1[Price (PKR)])</f>
        <v>1964.3125</v>
      </c>
      <c r="O1" s="23"/>
      <c r="Q1" s="23">
        <f>SUBTOTAL(1,Table1[Revenue])</f>
        <v>988718.08750000002</v>
      </c>
      <c r="R1" s="23"/>
    </row>
    <row r="2" spans="6:18" ht="14.5" customHeight="1" x14ac:dyDescent="0.35">
      <c r="F2" s="20"/>
      <c r="H2" s="21"/>
      <c r="I2" s="21"/>
      <c r="K2" s="22"/>
      <c r="L2" s="22"/>
      <c r="N2" s="23"/>
      <c r="O2" s="23"/>
      <c r="Q2" s="23"/>
      <c r="R2" s="23"/>
    </row>
    <row r="3" spans="6:18" ht="14.5" customHeight="1" x14ac:dyDescent="0.35">
      <c r="F3" s="20"/>
      <c r="H3" s="21"/>
      <c r="I3" s="21"/>
      <c r="K3" s="22"/>
      <c r="L3" s="22"/>
      <c r="N3" s="23"/>
      <c r="O3" s="23"/>
      <c r="Q3" s="23"/>
      <c r="R3" s="23"/>
    </row>
    <row r="4" spans="6:18" ht="14.5" customHeight="1" x14ac:dyDescent="0.35">
      <c r="K4" s="15"/>
      <c r="L4" s="15"/>
    </row>
  </sheetData>
  <mergeCells count="5">
    <mergeCell ref="F1:F3"/>
    <mergeCell ref="H1:I3"/>
    <mergeCell ref="K1:L3"/>
    <mergeCell ref="N1:O3"/>
    <mergeCell ref="Q1:R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08ED5-F21B-4C74-BACF-6F7337A4B6E2}">
  <dimension ref="A1"/>
  <sheetViews>
    <sheetView showGridLines="0" zoomScale="50" zoomScaleNormal="50" workbookViewId="0">
      <selection activeCell="AE7" sqref="AE7"/>
    </sheetView>
  </sheetViews>
  <sheetFormatPr defaultRowHeight="14.5" x14ac:dyDescent="0.35"/>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Listing Page</vt:lpstr>
      <vt:lpstr>Analysis page</vt:lpstr>
      <vt:lpstr>Dashboard</vt:lpstr>
      <vt:lpstr>Analysis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ahad raza</cp:lastModifiedBy>
  <dcterms:created xsi:type="dcterms:W3CDTF">2026-03-29T17:00:39Z</dcterms:created>
  <dcterms:modified xsi:type="dcterms:W3CDTF">2026-03-31T09:41:40Z</dcterms:modified>
</cp:coreProperties>
</file>